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bogdan/Desktop/"/>
    </mc:Choice>
  </mc:AlternateContent>
  <xr:revisionPtr revIDLastSave="0" documentId="13_ncr:1_{32754FC4-BC22-0141-B6AA-F52B9901EDE7}" xr6:coauthVersionLast="47" xr6:coauthVersionMax="47" xr10:uidLastSave="{00000000-0000-0000-0000-000000000000}"/>
  <bookViews>
    <workbookView xWindow="0" yWindow="720" windowWidth="29400" windowHeight="18400" activeTab="1" xr2:uid="{3EF88DDA-226C-B848-A20D-FBF65BE9941A}"/>
  </bookViews>
  <sheets>
    <sheet name="_I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5" i="2"/>
  <c r="B37" i="2"/>
  <c r="B36" i="2"/>
  <c r="B35" i="2"/>
  <c r="B34" i="2"/>
  <c r="B33" i="2"/>
  <c r="B84" i="2"/>
  <c r="B83" i="2"/>
  <c r="B60" i="2"/>
  <c r="B59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32" i="2"/>
  <c r="B31" i="2"/>
  <c r="B30" i="2"/>
  <c r="B29" i="2"/>
  <c r="B28" i="2"/>
  <c r="B27" i="2"/>
  <c r="B26" i="2"/>
  <c r="B25" i="2"/>
  <c r="B24" i="2"/>
  <c r="B23" i="2"/>
  <c r="B22" i="2"/>
  <c r="B14" i="2"/>
  <c r="B13" i="2"/>
  <c r="B12" i="2"/>
  <c r="B11" i="2"/>
  <c r="B10" i="2"/>
  <c r="B9" i="2"/>
  <c r="B8" i="2"/>
  <c r="B7" i="2"/>
  <c r="B6" i="2"/>
  <c r="B5" i="2"/>
  <c r="B4" i="2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X197" i="1"/>
  <c r="AW197" i="1"/>
  <c r="AA197" i="1"/>
  <c r="AX196" i="1"/>
  <c r="AW196" i="1"/>
  <c r="AA196" i="1"/>
  <c r="AX195" i="1"/>
  <c r="AW195" i="1"/>
  <c r="AA195" i="1"/>
  <c r="AX194" i="1"/>
  <c r="AW194" i="1"/>
  <c r="AA194" i="1"/>
  <c r="AX193" i="1"/>
  <c r="AW193" i="1"/>
  <c r="AH193" i="1"/>
  <c r="AA193" i="1"/>
  <c r="AX192" i="1"/>
  <c r="AW192" i="1"/>
  <c r="AH192" i="1"/>
  <c r="AA192" i="1"/>
  <c r="AX191" i="1"/>
  <c r="AW191" i="1"/>
  <c r="AH191" i="1"/>
  <c r="AA191" i="1"/>
  <c r="AX190" i="1"/>
  <c r="AW190" i="1"/>
  <c r="AH190" i="1"/>
  <c r="AA190" i="1"/>
  <c r="AX189" i="1"/>
  <c r="AW189" i="1"/>
  <c r="AH189" i="1"/>
  <c r="AA189" i="1"/>
  <c r="AX188" i="1"/>
  <c r="AW188" i="1"/>
  <c r="AH188" i="1"/>
  <c r="AA188" i="1"/>
  <c r="AX187" i="1"/>
  <c r="AW187" i="1"/>
  <c r="AH187" i="1"/>
  <c r="AA187" i="1"/>
  <c r="AX186" i="1"/>
  <c r="AW186" i="1"/>
  <c r="AH186" i="1"/>
  <c r="AA186" i="1"/>
  <c r="AX185" i="1"/>
  <c r="AW185" i="1"/>
  <c r="AH185" i="1"/>
  <c r="AA185" i="1"/>
  <c r="AX184" i="1"/>
  <c r="AW184" i="1"/>
  <c r="AQ184" i="1" s="1"/>
  <c r="AO184" i="1"/>
  <c r="AH184" i="1"/>
  <c r="AA184" i="1"/>
  <c r="AX183" i="1"/>
  <c r="AW183" i="1"/>
  <c r="AO183" i="1"/>
  <c r="AR183" i="1" s="1"/>
  <c r="AS183" i="1" s="1"/>
  <c r="AT183" i="1" s="1"/>
  <c r="AH183" i="1"/>
  <c r="AA183" i="1"/>
  <c r="AX182" i="1"/>
  <c r="AQ182" i="1" s="1"/>
  <c r="AW182" i="1"/>
  <c r="AO182" i="1"/>
  <c r="AR182" i="1" s="1"/>
  <c r="AS182" i="1" s="1"/>
  <c r="AT182" i="1" s="1"/>
  <c r="AH182" i="1"/>
  <c r="AA182" i="1"/>
  <c r="AX181" i="1"/>
  <c r="AW181" i="1"/>
  <c r="AQ181" i="1" s="1"/>
  <c r="AO181" i="1"/>
  <c r="AR181" i="1" s="1"/>
  <c r="AS181" i="1" s="1"/>
  <c r="AT181" i="1" s="1"/>
  <c r="AH181" i="1"/>
  <c r="AA181" i="1"/>
  <c r="AX180" i="1"/>
  <c r="AW180" i="1"/>
  <c r="AR180" i="1"/>
  <c r="AS180" i="1" s="1"/>
  <c r="AT180" i="1" s="1"/>
  <c r="AO180" i="1"/>
  <c r="AH180" i="1"/>
  <c r="AA180" i="1"/>
  <c r="AX179" i="1"/>
  <c r="AW179" i="1"/>
  <c r="AQ179" i="1" s="1"/>
  <c r="AR179" i="1"/>
  <c r="AS179" i="1" s="1"/>
  <c r="AT179" i="1" s="1"/>
  <c r="AO179" i="1"/>
  <c r="AH179" i="1"/>
  <c r="AA179" i="1"/>
  <c r="AX178" i="1"/>
  <c r="AW178" i="1"/>
  <c r="AO178" i="1"/>
  <c r="AR178" i="1" s="1"/>
  <c r="AS178" i="1" s="1"/>
  <c r="AT178" i="1" s="1"/>
  <c r="AH178" i="1"/>
  <c r="AA178" i="1"/>
  <c r="AX177" i="1"/>
  <c r="AW177" i="1"/>
  <c r="AR177" i="1"/>
  <c r="AS177" i="1" s="1"/>
  <c r="AT177" i="1" s="1"/>
  <c r="AQ177" i="1"/>
  <c r="AO177" i="1"/>
  <c r="AH177" i="1"/>
  <c r="AA177" i="1"/>
  <c r="AX176" i="1"/>
  <c r="AW176" i="1"/>
  <c r="AO176" i="1"/>
  <c r="AR176" i="1" s="1"/>
  <c r="AS176" i="1" s="1"/>
  <c r="AT176" i="1" s="1"/>
  <c r="AH176" i="1"/>
  <c r="AA176" i="1"/>
  <c r="AX175" i="1"/>
  <c r="AQ175" i="1" s="1"/>
  <c r="AW175" i="1"/>
  <c r="AO175" i="1"/>
  <c r="AR175" i="1" s="1"/>
  <c r="AS175" i="1" s="1"/>
  <c r="AT175" i="1" s="1"/>
  <c r="AH175" i="1"/>
  <c r="AA175" i="1"/>
  <c r="AX174" i="1"/>
  <c r="AW174" i="1"/>
  <c r="AO174" i="1"/>
  <c r="AR174" i="1" s="1"/>
  <c r="AS174" i="1" s="1"/>
  <c r="AT174" i="1" s="1"/>
  <c r="AH174" i="1"/>
  <c r="AA174" i="1"/>
  <c r="AX173" i="1"/>
  <c r="AW173" i="1"/>
  <c r="AO173" i="1"/>
  <c r="AR173" i="1" s="1"/>
  <c r="AS173" i="1" s="1"/>
  <c r="AT173" i="1" s="1"/>
  <c r="AH173" i="1"/>
  <c r="AA173" i="1"/>
  <c r="AX172" i="1"/>
  <c r="AW172" i="1"/>
  <c r="AR172" i="1"/>
  <c r="AS172" i="1" s="1"/>
  <c r="AT172" i="1" s="1"/>
  <c r="AQ172" i="1"/>
  <c r="AO172" i="1"/>
  <c r="AH172" i="1"/>
  <c r="AA172" i="1"/>
  <c r="AX171" i="1"/>
  <c r="AW171" i="1"/>
  <c r="AS171" i="1"/>
  <c r="AT171" i="1" s="1"/>
  <c r="AQ171" i="1"/>
  <c r="AO171" i="1"/>
  <c r="AR171" i="1" s="1"/>
  <c r="AH171" i="1"/>
  <c r="AA171" i="1"/>
  <c r="AX170" i="1"/>
  <c r="AW170" i="1"/>
  <c r="AQ170" i="1" s="1"/>
  <c r="AO170" i="1"/>
  <c r="AR170" i="1" s="1"/>
  <c r="AS170" i="1" s="1"/>
  <c r="AT170" i="1" s="1"/>
  <c r="AH170" i="1"/>
  <c r="AA170" i="1"/>
  <c r="AX169" i="1"/>
  <c r="AW169" i="1"/>
  <c r="AQ169" i="1" s="1"/>
  <c r="AR169" i="1"/>
  <c r="AS169" i="1" s="1"/>
  <c r="AT169" i="1" s="1"/>
  <c r="AO169" i="1"/>
  <c r="AH169" i="1"/>
  <c r="AA169" i="1"/>
  <c r="AX168" i="1"/>
  <c r="AW168" i="1"/>
  <c r="AR168" i="1"/>
  <c r="AS168" i="1" s="1"/>
  <c r="AT168" i="1" s="1"/>
  <c r="AO168" i="1"/>
  <c r="AH168" i="1"/>
  <c r="AA168" i="1"/>
  <c r="AX167" i="1"/>
  <c r="AW167" i="1"/>
  <c r="AO167" i="1"/>
  <c r="AR167" i="1" s="1"/>
  <c r="AS167" i="1" s="1"/>
  <c r="AT167" i="1" s="1"/>
  <c r="AH167" i="1"/>
  <c r="AA167" i="1"/>
  <c r="AX166" i="1"/>
  <c r="AW166" i="1"/>
  <c r="AQ166" i="1" s="1"/>
  <c r="AO166" i="1"/>
  <c r="AH166" i="1"/>
  <c r="AA166" i="1"/>
  <c r="AX165" i="1"/>
  <c r="AW165" i="1"/>
  <c r="AQ165" i="1" s="1"/>
  <c r="AO165" i="1"/>
  <c r="AH165" i="1"/>
  <c r="AA165" i="1"/>
  <c r="AX164" i="1"/>
  <c r="AW164" i="1"/>
  <c r="AQ164" i="1"/>
  <c r="AO164" i="1"/>
  <c r="AH164" i="1"/>
  <c r="AA164" i="1"/>
  <c r="AX163" i="1"/>
  <c r="AW163" i="1"/>
  <c r="AQ163" i="1" s="1"/>
  <c r="AO163" i="1"/>
  <c r="AH163" i="1"/>
  <c r="AA163" i="1"/>
  <c r="AX162" i="1"/>
  <c r="AW162" i="1"/>
  <c r="AO162" i="1"/>
  <c r="AH162" i="1"/>
  <c r="AA162" i="1"/>
  <c r="AX161" i="1"/>
  <c r="AW161" i="1"/>
  <c r="AQ161" i="1" s="1"/>
  <c r="AO161" i="1"/>
  <c r="AH161" i="1"/>
  <c r="AA161" i="1"/>
  <c r="AX160" i="1"/>
  <c r="AW160" i="1"/>
  <c r="AO160" i="1"/>
  <c r="AH160" i="1"/>
  <c r="AA160" i="1"/>
  <c r="AX159" i="1"/>
  <c r="AQ159" i="1" s="1"/>
  <c r="AW159" i="1"/>
  <c r="AO159" i="1"/>
  <c r="AH159" i="1"/>
  <c r="AA159" i="1"/>
  <c r="AX158" i="1"/>
  <c r="AW158" i="1"/>
  <c r="AQ158" i="1" s="1"/>
  <c r="AU158" i="1" s="1"/>
  <c r="AO158" i="1"/>
  <c r="AH158" i="1"/>
  <c r="AA158" i="1"/>
  <c r="AX157" i="1"/>
  <c r="AW157" i="1"/>
  <c r="AQ157" i="1" s="1"/>
  <c r="AU157" i="1" s="1"/>
  <c r="AO157" i="1"/>
  <c r="AH157" i="1"/>
  <c r="AA157" i="1"/>
  <c r="AX156" i="1"/>
  <c r="AW156" i="1"/>
  <c r="AQ156" i="1" s="1"/>
  <c r="AO156" i="1"/>
  <c r="AH156" i="1"/>
  <c r="AA156" i="1"/>
  <c r="AX155" i="1"/>
  <c r="AQ155" i="1" s="1"/>
  <c r="AW155" i="1"/>
  <c r="AO155" i="1"/>
  <c r="AH155" i="1"/>
  <c r="AA155" i="1"/>
  <c r="AX154" i="1"/>
  <c r="AW154" i="1"/>
  <c r="AO154" i="1"/>
  <c r="AH154" i="1"/>
  <c r="AA154" i="1"/>
  <c r="AX153" i="1"/>
  <c r="AQ153" i="1" s="1"/>
  <c r="AW153" i="1"/>
  <c r="AO153" i="1"/>
  <c r="AH153" i="1"/>
  <c r="AA153" i="1"/>
  <c r="AX152" i="1"/>
  <c r="AW152" i="1"/>
  <c r="AQ152" i="1" s="1"/>
  <c r="AO152" i="1"/>
  <c r="AH152" i="1"/>
  <c r="AA152" i="1"/>
  <c r="AX151" i="1"/>
  <c r="AW151" i="1"/>
  <c r="AO151" i="1"/>
  <c r="AH151" i="1"/>
  <c r="AA151" i="1"/>
  <c r="AX150" i="1"/>
  <c r="AW150" i="1"/>
  <c r="AQ150" i="1" s="1"/>
  <c r="AO150" i="1"/>
  <c r="AH150" i="1"/>
  <c r="AA150" i="1"/>
  <c r="AX149" i="1"/>
  <c r="AW149" i="1"/>
  <c r="AQ149" i="1" s="1"/>
  <c r="AO149" i="1"/>
  <c r="AH149" i="1"/>
  <c r="AA149" i="1"/>
  <c r="AX148" i="1"/>
  <c r="AW148" i="1"/>
  <c r="AQ148" i="1" s="1"/>
  <c r="AO148" i="1"/>
  <c r="AH148" i="1"/>
  <c r="AA148" i="1"/>
  <c r="AX147" i="1"/>
  <c r="AW147" i="1"/>
  <c r="AQ147" i="1"/>
  <c r="AO147" i="1"/>
  <c r="AR147" i="1" s="1"/>
  <c r="AS147" i="1" s="1"/>
  <c r="AT147" i="1" s="1"/>
  <c r="AH147" i="1"/>
  <c r="AA147" i="1"/>
  <c r="AX146" i="1"/>
  <c r="AW146" i="1"/>
  <c r="AO146" i="1"/>
  <c r="AR146" i="1" s="1"/>
  <c r="AS146" i="1" s="1"/>
  <c r="AT146" i="1" s="1"/>
  <c r="AH146" i="1"/>
  <c r="AA146" i="1"/>
  <c r="AX145" i="1"/>
  <c r="AW145" i="1"/>
  <c r="AR145" i="1"/>
  <c r="AS145" i="1" s="1"/>
  <c r="AT145" i="1" s="1"/>
  <c r="AQ145" i="1"/>
  <c r="AU145" i="1" s="1"/>
  <c r="AO145" i="1"/>
  <c r="AH145" i="1"/>
  <c r="AA145" i="1"/>
  <c r="AX144" i="1"/>
  <c r="AW144" i="1"/>
  <c r="AQ144" i="1" s="1"/>
  <c r="AO144" i="1"/>
  <c r="AH144" i="1"/>
  <c r="AA144" i="1"/>
  <c r="AX143" i="1"/>
  <c r="AW143" i="1"/>
  <c r="AO143" i="1"/>
  <c r="AH143" i="1"/>
  <c r="AA143" i="1"/>
  <c r="AX142" i="1"/>
  <c r="AW142" i="1"/>
  <c r="AQ142" i="1" s="1"/>
  <c r="AO142" i="1"/>
  <c r="AH142" i="1"/>
  <c r="AA142" i="1"/>
  <c r="AX141" i="1"/>
  <c r="AW141" i="1"/>
  <c r="AQ141" i="1" s="1"/>
  <c r="AO141" i="1"/>
  <c r="AH141" i="1"/>
  <c r="AA141" i="1"/>
  <c r="AX140" i="1"/>
  <c r="AQ140" i="1" s="1"/>
  <c r="AU140" i="1" s="1"/>
  <c r="AW140" i="1"/>
  <c r="AO140" i="1"/>
  <c r="AH140" i="1"/>
  <c r="AA140" i="1"/>
  <c r="AX139" i="1"/>
  <c r="AW139" i="1"/>
  <c r="AQ139" i="1"/>
  <c r="AO139" i="1"/>
  <c r="AR139" i="1" s="1"/>
  <c r="AS139" i="1" s="1"/>
  <c r="AT139" i="1" s="1"/>
  <c r="AH139" i="1"/>
  <c r="AA139" i="1"/>
  <c r="AX138" i="1"/>
  <c r="AW138" i="1"/>
  <c r="AO138" i="1"/>
  <c r="AH138" i="1"/>
  <c r="AA138" i="1"/>
  <c r="AX137" i="1"/>
  <c r="AW137" i="1"/>
  <c r="AQ137" i="1" s="1"/>
  <c r="AO137" i="1"/>
  <c r="AH137" i="1"/>
  <c r="AA137" i="1"/>
  <c r="AX136" i="1"/>
  <c r="AW136" i="1"/>
  <c r="AQ136" i="1" s="1"/>
  <c r="AR136" i="1"/>
  <c r="AS136" i="1" s="1"/>
  <c r="AT136" i="1" s="1"/>
  <c r="AO136" i="1"/>
  <c r="AH136" i="1"/>
  <c r="AA136" i="1"/>
  <c r="AX135" i="1"/>
  <c r="AW135" i="1"/>
  <c r="AQ135" i="1"/>
  <c r="AU135" i="1" s="1"/>
  <c r="AO135" i="1"/>
  <c r="AR135" i="1" s="1"/>
  <c r="AS135" i="1" s="1"/>
  <c r="AT135" i="1" s="1"/>
  <c r="AH135" i="1"/>
  <c r="AA135" i="1"/>
  <c r="AX134" i="1"/>
  <c r="AW134" i="1"/>
  <c r="AQ134" i="1" s="1"/>
  <c r="AO134" i="1"/>
  <c r="AR134" i="1" s="1"/>
  <c r="AS134" i="1" s="1"/>
  <c r="AT134" i="1" s="1"/>
  <c r="AH134" i="1"/>
  <c r="AA134" i="1"/>
  <c r="AX133" i="1"/>
  <c r="AW133" i="1"/>
  <c r="AO133" i="1"/>
  <c r="AR133" i="1" s="1"/>
  <c r="AS133" i="1" s="1"/>
  <c r="AT133" i="1" s="1"/>
  <c r="AH133" i="1"/>
  <c r="AA133" i="1"/>
  <c r="AX132" i="1"/>
  <c r="AW132" i="1"/>
  <c r="AQ132" i="1" s="1"/>
  <c r="AO132" i="1"/>
  <c r="AR132" i="1" s="1"/>
  <c r="AS132" i="1" s="1"/>
  <c r="AT132" i="1" s="1"/>
  <c r="AH132" i="1"/>
  <c r="AA132" i="1"/>
  <c r="AX131" i="1"/>
  <c r="AW131" i="1"/>
  <c r="AQ131" i="1" s="1"/>
  <c r="AO131" i="1"/>
  <c r="AH131" i="1"/>
  <c r="AA131" i="1"/>
  <c r="AX130" i="1"/>
  <c r="AW130" i="1"/>
  <c r="AO130" i="1"/>
  <c r="AH130" i="1"/>
  <c r="AA130" i="1"/>
  <c r="AX129" i="1"/>
  <c r="AQ129" i="1" s="1"/>
  <c r="AW129" i="1"/>
  <c r="AR129" i="1"/>
  <c r="AS129" i="1" s="1"/>
  <c r="AT129" i="1" s="1"/>
  <c r="AO129" i="1"/>
  <c r="AH129" i="1"/>
  <c r="AA129" i="1"/>
  <c r="AX128" i="1"/>
  <c r="AW128" i="1"/>
  <c r="AO128" i="1"/>
  <c r="AR128" i="1" s="1"/>
  <c r="AS128" i="1" s="1"/>
  <c r="AT128" i="1" s="1"/>
  <c r="AH128" i="1"/>
  <c r="AA128" i="1"/>
  <c r="AX127" i="1"/>
  <c r="AW127" i="1"/>
  <c r="AR127" i="1"/>
  <c r="AS127" i="1" s="1"/>
  <c r="AT127" i="1" s="1"/>
  <c r="AQ127" i="1"/>
  <c r="AO127" i="1"/>
  <c r="AH127" i="1"/>
  <c r="AA127" i="1"/>
  <c r="AX126" i="1"/>
  <c r="AW126" i="1"/>
  <c r="AQ126" i="1" s="1"/>
  <c r="AO126" i="1"/>
  <c r="AR126" i="1" s="1"/>
  <c r="AS126" i="1" s="1"/>
  <c r="AT126" i="1" s="1"/>
  <c r="AH126" i="1"/>
  <c r="AA126" i="1"/>
  <c r="X126" i="1"/>
  <c r="AX125" i="1"/>
  <c r="AQ125" i="1" s="1"/>
  <c r="AW125" i="1"/>
  <c r="AO125" i="1"/>
  <c r="AR125" i="1" s="1"/>
  <c r="AS125" i="1" s="1"/>
  <c r="AT125" i="1" s="1"/>
  <c r="AH125" i="1"/>
  <c r="AA125" i="1"/>
  <c r="AX124" i="1"/>
  <c r="AW124" i="1"/>
  <c r="AR124" i="1"/>
  <c r="AS124" i="1" s="1"/>
  <c r="AT124" i="1" s="1"/>
  <c r="AQ124" i="1"/>
  <c r="AO124" i="1"/>
  <c r="AH124" i="1"/>
  <c r="AA124" i="1"/>
  <c r="AX123" i="1"/>
  <c r="AW123" i="1"/>
  <c r="AO123" i="1"/>
  <c r="AR123" i="1" s="1"/>
  <c r="AS123" i="1" s="1"/>
  <c r="AT123" i="1" s="1"/>
  <c r="AH123" i="1"/>
  <c r="AA123" i="1"/>
  <c r="AX122" i="1"/>
  <c r="AW122" i="1"/>
  <c r="AR122" i="1"/>
  <c r="AS122" i="1" s="1"/>
  <c r="AT122" i="1" s="1"/>
  <c r="AQ122" i="1"/>
  <c r="AO122" i="1"/>
  <c r="AH122" i="1"/>
  <c r="AA122" i="1"/>
  <c r="X122" i="1"/>
  <c r="AX121" i="1"/>
  <c r="AW121" i="1"/>
  <c r="AR121" i="1"/>
  <c r="AS121" i="1" s="1"/>
  <c r="AT121" i="1" s="1"/>
  <c r="AQ121" i="1"/>
  <c r="AO121" i="1"/>
  <c r="AH121" i="1"/>
  <c r="AA121" i="1"/>
  <c r="X121" i="1"/>
  <c r="AX120" i="1"/>
  <c r="AW120" i="1"/>
  <c r="AO120" i="1"/>
  <c r="AR120" i="1" s="1"/>
  <c r="AS120" i="1" s="1"/>
  <c r="AT120" i="1" s="1"/>
  <c r="AH120" i="1"/>
  <c r="AA120" i="1"/>
  <c r="X120" i="1"/>
  <c r="AX119" i="1"/>
  <c r="AW119" i="1"/>
  <c r="AO119" i="1"/>
  <c r="AH119" i="1"/>
  <c r="AA119" i="1"/>
  <c r="X119" i="1"/>
  <c r="AX118" i="1"/>
  <c r="AW118" i="1"/>
  <c r="AO118" i="1"/>
  <c r="AH118" i="1"/>
  <c r="AA118" i="1"/>
  <c r="X118" i="1"/>
  <c r="AX117" i="1"/>
  <c r="AW117" i="1"/>
  <c r="AQ117" i="1" s="1"/>
  <c r="AU117" i="1" s="1"/>
  <c r="AO117" i="1"/>
  <c r="AH117" i="1"/>
  <c r="AA117" i="1"/>
  <c r="X117" i="1"/>
  <c r="T117" i="1"/>
  <c r="AX116" i="1"/>
  <c r="AW116" i="1"/>
  <c r="AQ116" i="1" s="1"/>
  <c r="AO116" i="1"/>
  <c r="AH116" i="1"/>
  <c r="AA116" i="1"/>
  <c r="X116" i="1"/>
  <c r="T116" i="1"/>
  <c r="AX115" i="1"/>
  <c r="AW115" i="1"/>
  <c r="AQ115" i="1" s="1"/>
  <c r="AO115" i="1"/>
  <c r="AH115" i="1"/>
  <c r="AA115" i="1"/>
  <c r="X115" i="1"/>
  <c r="T115" i="1"/>
  <c r="AX114" i="1"/>
  <c r="AW114" i="1"/>
  <c r="AO114" i="1"/>
  <c r="AH114" i="1"/>
  <c r="AA114" i="1"/>
  <c r="X114" i="1"/>
  <c r="T114" i="1"/>
  <c r="AX113" i="1"/>
  <c r="AW113" i="1"/>
  <c r="AQ113" i="1" s="1"/>
  <c r="AO113" i="1"/>
  <c r="AH113" i="1"/>
  <c r="AA113" i="1"/>
  <c r="X113" i="1"/>
  <c r="T113" i="1"/>
  <c r="AX112" i="1"/>
  <c r="AW112" i="1"/>
  <c r="AO112" i="1"/>
  <c r="AH112" i="1"/>
  <c r="AA112" i="1"/>
  <c r="X112" i="1"/>
  <c r="T112" i="1"/>
  <c r="AX111" i="1"/>
  <c r="AW111" i="1"/>
  <c r="AO111" i="1"/>
  <c r="AH111" i="1"/>
  <c r="AA111" i="1"/>
  <c r="X111" i="1"/>
  <c r="T111" i="1"/>
  <c r="AX110" i="1"/>
  <c r="AW110" i="1"/>
  <c r="AQ110" i="1" s="1"/>
  <c r="AU110" i="1" s="1"/>
  <c r="AO110" i="1"/>
  <c r="AH110" i="1"/>
  <c r="AA110" i="1"/>
  <c r="X110" i="1"/>
  <c r="T110" i="1"/>
  <c r="AX109" i="1"/>
  <c r="AW109" i="1"/>
  <c r="AQ109" i="1" s="1"/>
  <c r="AU109" i="1"/>
  <c r="AO109" i="1"/>
  <c r="AH109" i="1"/>
  <c r="AA109" i="1"/>
  <c r="X109" i="1"/>
  <c r="T109" i="1"/>
  <c r="AX108" i="1"/>
  <c r="AW108" i="1"/>
  <c r="AQ108" i="1" s="1"/>
  <c r="AO108" i="1"/>
  <c r="AH108" i="1"/>
  <c r="AA108" i="1"/>
  <c r="X108" i="1"/>
  <c r="T108" i="1"/>
  <c r="AX107" i="1"/>
  <c r="AW107" i="1"/>
  <c r="AO107" i="1"/>
  <c r="AH107" i="1"/>
  <c r="AA107" i="1"/>
  <c r="X107" i="1"/>
  <c r="T107" i="1"/>
  <c r="AX106" i="1"/>
  <c r="AW106" i="1"/>
  <c r="AQ106" i="1" s="1"/>
  <c r="AU106" i="1" s="1"/>
  <c r="AO106" i="1"/>
  <c r="AH106" i="1"/>
  <c r="AA106" i="1"/>
  <c r="X106" i="1"/>
  <c r="T106" i="1"/>
  <c r="AX105" i="1"/>
  <c r="AW105" i="1"/>
  <c r="AQ105" i="1" s="1"/>
  <c r="AO105" i="1"/>
  <c r="AH105" i="1"/>
  <c r="AA105" i="1"/>
  <c r="X105" i="1"/>
  <c r="T105" i="1"/>
  <c r="AX104" i="1"/>
  <c r="AW104" i="1"/>
  <c r="AO104" i="1"/>
  <c r="AH104" i="1"/>
  <c r="AA104" i="1"/>
  <c r="X104" i="1"/>
  <c r="T104" i="1"/>
  <c r="AX103" i="1"/>
  <c r="AW103" i="1"/>
  <c r="AO103" i="1"/>
  <c r="AH103" i="1"/>
  <c r="AA103" i="1"/>
  <c r="X103" i="1"/>
  <c r="T103" i="1"/>
  <c r="AX102" i="1"/>
  <c r="AW102" i="1"/>
  <c r="AQ102" i="1" s="1"/>
  <c r="AO102" i="1"/>
  <c r="AH102" i="1"/>
  <c r="AA102" i="1"/>
  <c r="X102" i="1"/>
  <c r="T102" i="1"/>
  <c r="AX101" i="1"/>
  <c r="AW101" i="1"/>
  <c r="AO101" i="1"/>
  <c r="AH101" i="1"/>
  <c r="AA101" i="1"/>
  <c r="X101" i="1"/>
  <c r="T101" i="1"/>
  <c r="AX100" i="1"/>
  <c r="AW100" i="1"/>
  <c r="AQ100" i="1" s="1"/>
  <c r="AO100" i="1"/>
  <c r="AH100" i="1"/>
  <c r="AA100" i="1"/>
  <c r="X100" i="1"/>
  <c r="T100" i="1"/>
  <c r="AX99" i="1"/>
  <c r="AW99" i="1"/>
  <c r="AQ99" i="1" s="1"/>
  <c r="AR99" i="1"/>
  <c r="AS99" i="1" s="1"/>
  <c r="AT99" i="1" s="1"/>
  <c r="AO99" i="1"/>
  <c r="AH99" i="1"/>
  <c r="AA99" i="1"/>
  <c r="X99" i="1"/>
  <c r="T99" i="1"/>
  <c r="AX98" i="1"/>
  <c r="AW98" i="1"/>
  <c r="AO98" i="1"/>
  <c r="AR98" i="1" s="1"/>
  <c r="AS98" i="1" s="1"/>
  <c r="AT98" i="1" s="1"/>
  <c r="AH98" i="1"/>
  <c r="AA98" i="1"/>
  <c r="X98" i="1"/>
  <c r="T98" i="1"/>
  <c r="AX97" i="1"/>
  <c r="AW97" i="1"/>
  <c r="AO97" i="1"/>
  <c r="AH97" i="1"/>
  <c r="AA97" i="1"/>
  <c r="X97" i="1"/>
  <c r="T97" i="1"/>
  <c r="AX96" i="1"/>
  <c r="AW96" i="1"/>
  <c r="AQ96" i="1" s="1"/>
  <c r="AO96" i="1"/>
  <c r="AH96" i="1"/>
  <c r="AA96" i="1"/>
  <c r="X96" i="1"/>
  <c r="V96" i="1"/>
  <c r="W96" i="1" s="1"/>
  <c r="Y96" i="1" s="1"/>
  <c r="T96" i="1"/>
  <c r="AX95" i="1"/>
  <c r="AW95" i="1"/>
  <c r="AQ95" i="1" s="1"/>
  <c r="AO95" i="1"/>
  <c r="AH95" i="1"/>
  <c r="AA95" i="1"/>
  <c r="X95" i="1"/>
  <c r="U95" i="1"/>
  <c r="W95" i="1" s="1"/>
  <c r="Y95" i="1" s="1"/>
  <c r="T95" i="1"/>
  <c r="AX94" i="1"/>
  <c r="AW94" i="1"/>
  <c r="AQ94" i="1" s="1"/>
  <c r="AO94" i="1"/>
  <c r="AH94" i="1"/>
  <c r="AA94" i="1"/>
  <c r="T94" i="1"/>
  <c r="AX93" i="1"/>
  <c r="AW93" i="1"/>
  <c r="AQ93" i="1" s="1"/>
  <c r="AP93" i="1"/>
  <c r="AP94" i="1" s="1"/>
  <c r="AO93" i="1"/>
  <c r="AH93" i="1"/>
  <c r="AA93" i="1"/>
  <c r="T93" i="1"/>
  <c r="AX92" i="1"/>
  <c r="AW92" i="1"/>
  <c r="AO92" i="1"/>
  <c r="AH92" i="1"/>
  <c r="AA92" i="1"/>
  <c r="T92" i="1"/>
  <c r="AX91" i="1"/>
  <c r="AW91" i="1"/>
  <c r="AO91" i="1"/>
  <c r="AH91" i="1"/>
  <c r="AA91" i="1"/>
  <c r="T91" i="1"/>
  <c r="AX90" i="1"/>
  <c r="AW90" i="1"/>
  <c r="AO90" i="1"/>
  <c r="AH90" i="1"/>
  <c r="AA90" i="1"/>
  <c r="T90" i="1"/>
  <c r="AX89" i="1"/>
  <c r="AW89" i="1"/>
  <c r="AO89" i="1"/>
  <c r="AH89" i="1"/>
  <c r="AA89" i="1"/>
  <c r="T89" i="1"/>
  <c r="AX88" i="1"/>
  <c r="AW88" i="1"/>
  <c r="AO88" i="1"/>
  <c r="AH88" i="1"/>
  <c r="AA88" i="1"/>
  <c r="T88" i="1"/>
  <c r="AX87" i="1"/>
  <c r="AW87" i="1"/>
  <c r="AO87" i="1"/>
  <c r="AH87" i="1"/>
  <c r="AA87" i="1"/>
  <c r="T87" i="1"/>
  <c r="AX86" i="1"/>
  <c r="AW86" i="1"/>
  <c r="AO86" i="1"/>
  <c r="AH86" i="1"/>
  <c r="AA86" i="1"/>
  <c r="T86" i="1"/>
  <c r="AX85" i="1"/>
  <c r="AW85" i="1"/>
  <c r="AO85" i="1"/>
  <c r="AH85" i="1"/>
  <c r="AA85" i="1"/>
  <c r="T85" i="1"/>
  <c r="AX84" i="1"/>
  <c r="AW84" i="1"/>
  <c r="AO84" i="1"/>
  <c r="AH84" i="1"/>
  <c r="AA84" i="1"/>
  <c r="T84" i="1"/>
  <c r="AX83" i="1"/>
  <c r="AW83" i="1"/>
  <c r="AO83" i="1"/>
  <c r="AH83" i="1"/>
  <c r="AA83" i="1"/>
  <c r="T83" i="1"/>
  <c r="AX82" i="1"/>
  <c r="AW82" i="1"/>
  <c r="AO82" i="1"/>
  <c r="AH82" i="1"/>
  <c r="AA82" i="1"/>
  <c r="T82" i="1"/>
  <c r="AX81" i="1"/>
  <c r="AW81" i="1"/>
  <c r="AO81" i="1"/>
  <c r="AH81" i="1"/>
  <c r="AA81" i="1"/>
  <c r="T81" i="1"/>
  <c r="AX80" i="1"/>
  <c r="AW80" i="1"/>
  <c r="AO80" i="1"/>
  <c r="AH80" i="1"/>
  <c r="AA80" i="1"/>
  <c r="T80" i="1"/>
  <c r="AX79" i="1"/>
  <c r="AW79" i="1"/>
  <c r="AO79" i="1"/>
  <c r="AH79" i="1"/>
  <c r="AA79" i="1"/>
  <c r="T79" i="1"/>
  <c r="AX78" i="1"/>
  <c r="AW78" i="1"/>
  <c r="AO78" i="1"/>
  <c r="AH78" i="1"/>
  <c r="AA78" i="1"/>
  <c r="T78" i="1"/>
  <c r="AX77" i="1"/>
  <c r="AW77" i="1"/>
  <c r="AO77" i="1"/>
  <c r="AH77" i="1"/>
  <c r="AA77" i="1"/>
  <c r="T77" i="1"/>
  <c r="AX76" i="1"/>
  <c r="AW76" i="1"/>
  <c r="AO76" i="1"/>
  <c r="AH76" i="1"/>
  <c r="AA76" i="1"/>
  <c r="T76" i="1"/>
  <c r="AX75" i="1"/>
  <c r="AW75" i="1"/>
  <c r="AO75" i="1"/>
  <c r="AH75" i="1"/>
  <c r="AA75" i="1"/>
  <c r="T75" i="1"/>
  <c r="AX74" i="1"/>
  <c r="AW74" i="1"/>
  <c r="AO74" i="1"/>
  <c r="AH74" i="1"/>
  <c r="AA74" i="1"/>
  <c r="T74" i="1"/>
  <c r="AX73" i="1"/>
  <c r="AW73" i="1"/>
  <c r="AO73" i="1"/>
  <c r="AH73" i="1"/>
  <c r="AA73" i="1"/>
  <c r="T73" i="1"/>
  <c r="AX72" i="1"/>
  <c r="AW72" i="1"/>
  <c r="AO72" i="1"/>
  <c r="AH72" i="1"/>
  <c r="AA72" i="1"/>
  <c r="T72" i="1"/>
  <c r="AX71" i="1"/>
  <c r="AW71" i="1"/>
  <c r="AO71" i="1"/>
  <c r="AH71" i="1"/>
  <c r="AA71" i="1"/>
  <c r="T71" i="1"/>
  <c r="AX70" i="1"/>
  <c r="AW70" i="1"/>
  <c r="AO70" i="1"/>
  <c r="AH70" i="1"/>
  <c r="AA70" i="1"/>
  <c r="T70" i="1"/>
  <c r="AX69" i="1"/>
  <c r="AW69" i="1"/>
  <c r="AO69" i="1"/>
  <c r="AH69" i="1"/>
  <c r="AA69" i="1"/>
  <c r="T69" i="1"/>
  <c r="AX68" i="1"/>
  <c r="AW68" i="1"/>
  <c r="AO68" i="1"/>
  <c r="AH68" i="1"/>
  <c r="AA68" i="1"/>
  <c r="T68" i="1"/>
  <c r="AX67" i="1"/>
  <c r="AW67" i="1"/>
  <c r="AO67" i="1"/>
  <c r="AH67" i="1"/>
  <c r="AA67" i="1"/>
  <c r="T67" i="1"/>
  <c r="AX66" i="1"/>
  <c r="AW66" i="1"/>
  <c r="AO66" i="1"/>
  <c r="AH66" i="1"/>
  <c r="AA66" i="1"/>
  <c r="T66" i="1"/>
  <c r="AX65" i="1"/>
  <c r="AW65" i="1"/>
  <c r="AO65" i="1"/>
  <c r="AH65" i="1"/>
  <c r="AA65" i="1"/>
  <c r="T65" i="1"/>
  <c r="AX64" i="1"/>
  <c r="AW64" i="1"/>
  <c r="AO64" i="1"/>
  <c r="AH64" i="1"/>
  <c r="AA64" i="1"/>
  <c r="T64" i="1"/>
  <c r="AX63" i="1"/>
  <c r="AW63" i="1"/>
  <c r="AO63" i="1"/>
  <c r="AH63" i="1"/>
  <c r="AA63" i="1"/>
  <c r="T63" i="1"/>
  <c r="AX62" i="1"/>
  <c r="AW62" i="1"/>
  <c r="AO62" i="1"/>
  <c r="AH62" i="1"/>
  <c r="AA62" i="1"/>
  <c r="T62" i="1"/>
  <c r="AX61" i="1"/>
  <c r="AW61" i="1"/>
  <c r="AO61" i="1"/>
  <c r="AH61" i="1"/>
  <c r="AA61" i="1"/>
  <c r="T61" i="1"/>
  <c r="AX60" i="1"/>
  <c r="AW60" i="1"/>
  <c r="AO60" i="1"/>
  <c r="AH60" i="1"/>
  <c r="AA60" i="1"/>
  <c r="T60" i="1"/>
  <c r="AX59" i="1"/>
  <c r="AW59" i="1"/>
  <c r="AO59" i="1"/>
  <c r="AH59" i="1"/>
  <c r="AA59" i="1"/>
  <c r="T59" i="1"/>
  <c r="AX58" i="1"/>
  <c r="AW58" i="1"/>
  <c r="AO58" i="1"/>
  <c r="AH58" i="1"/>
  <c r="AA58" i="1"/>
  <c r="T58" i="1"/>
  <c r="AX57" i="1"/>
  <c r="AW57" i="1"/>
  <c r="AO57" i="1"/>
  <c r="AH57" i="1"/>
  <c r="AA57" i="1"/>
  <c r="T57" i="1"/>
  <c r="AX56" i="1"/>
  <c r="AW56" i="1"/>
  <c r="AO56" i="1"/>
  <c r="AH56" i="1"/>
  <c r="AA56" i="1"/>
  <c r="T56" i="1"/>
  <c r="AX55" i="1"/>
  <c r="AW55" i="1"/>
  <c r="AO55" i="1"/>
  <c r="AH55" i="1"/>
  <c r="AA55" i="1"/>
  <c r="T55" i="1"/>
  <c r="AX54" i="1"/>
  <c r="AW54" i="1"/>
  <c r="AO54" i="1"/>
  <c r="AH54" i="1"/>
  <c r="AA54" i="1"/>
  <c r="T54" i="1"/>
  <c r="AX53" i="1"/>
  <c r="AW53" i="1"/>
  <c r="AO53" i="1"/>
  <c r="AH53" i="1"/>
  <c r="AA53" i="1"/>
  <c r="T53" i="1"/>
  <c r="AX52" i="1"/>
  <c r="AW52" i="1"/>
  <c r="AO52" i="1"/>
  <c r="AH52" i="1"/>
  <c r="AA52" i="1"/>
  <c r="T52" i="1"/>
  <c r="AX51" i="1"/>
  <c r="AW51" i="1"/>
  <c r="AO51" i="1"/>
  <c r="AH51" i="1"/>
  <c r="AA51" i="1"/>
  <c r="T51" i="1"/>
  <c r="AX50" i="1"/>
  <c r="AW50" i="1"/>
  <c r="AO50" i="1"/>
  <c r="AH50" i="1"/>
  <c r="AA50" i="1"/>
  <c r="T50" i="1"/>
  <c r="AX49" i="1"/>
  <c r="AW49" i="1"/>
  <c r="AO49" i="1"/>
  <c r="AH49" i="1"/>
  <c r="AA49" i="1"/>
  <c r="T49" i="1"/>
  <c r="AX48" i="1"/>
  <c r="AW48" i="1"/>
  <c r="AO48" i="1"/>
  <c r="AH48" i="1"/>
  <c r="AA48" i="1"/>
  <c r="T48" i="1"/>
  <c r="AX47" i="1"/>
  <c r="AW47" i="1"/>
  <c r="AO47" i="1"/>
  <c r="AH47" i="1"/>
  <c r="AA47" i="1"/>
  <c r="T47" i="1"/>
  <c r="AX46" i="1"/>
  <c r="AW46" i="1"/>
  <c r="AO46" i="1"/>
  <c r="AH46" i="1"/>
  <c r="AA46" i="1"/>
  <c r="T46" i="1"/>
  <c r="AX45" i="1"/>
  <c r="AW45" i="1"/>
  <c r="AO45" i="1"/>
  <c r="AH45" i="1"/>
  <c r="AA45" i="1"/>
  <c r="T45" i="1"/>
  <c r="AX44" i="1"/>
  <c r="AW44" i="1"/>
  <c r="AO44" i="1"/>
  <c r="AH44" i="1"/>
  <c r="AA44" i="1"/>
  <c r="T44" i="1"/>
  <c r="AX43" i="1"/>
  <c r="AW43" i="1"/>
  <c r="AO43" i="1"/>
  <c r="AH43" i="1"/>
  <c r="AA43" i="1"/>
  <c r="T43" i="1"/>
  <c r="AX42" i="1"/>
  <c r="AW42" i="1"/>
  <c r="AO42" i="1"/>
  <c r="AH42" i="1"/>
  <c r="AA42" i="1"/>
  <c r="T42" i="1"/>
  <c r="AX41" i="1"/>
  <c r="AW41" i="1"/>
  <c r="AO41" i="1"/>
  <c r="AH41" i="1"/>
  <c r="AA41" i="1"/>
  <c r="T41" i="1"/>
  <c r="AX40" i="1"/>
  <c r="AW40" i="1"/>
  <c r="AO40" i="1"/>
  <c r="AH40" i="1"/>
  <c r="AA40" i="1"/>
  <c r="T40" i="1"/>
  <c r="AX39" i="1"/>
  <c r="AW39" i="1"/>
  <c r="AO39" i="1"/>
  <c r="AH39" i="1"/>
  <c r="AA39" i="1"/>
  <c r="T39" i="1"/>
  <c r="AX38" i="1"/>
  <c r="AW38" i="1"/>
  <c r="AO38" i="1"/>
  <c r="AH38" i="1"/>
  <c r="AA38" i="1"/>
  <c r="T38" i="1"/>
  <c r="AX37" i="1"/>
  <c r="AW37" i="1"/>
  <c r="AO37" i="1"/>
  <c r="AH37" i="1"/>
  <c r="AA37" i="1"/>
  <c r="T37" i="1"/>
  <c r="AX36" i="1"/>
  <c r="AW36" i="1"/>
  <c r="AO36" i="1"/>
  <c r="AH36" i="1"/>
  <c r="AA36" i="1"/>
  <c r="T36" i="1"/>
  <c r="AX35" i="1"/>
  <c r="AW35" i="1"/>
  <c r="AO35" i="1"/>
  <c r="AH35" i="1"/>
  <c r="AA35" i="1"/>
  <c r="T35" i="1"/>
  <c r="AX34" i="1"/>
  <c r="AW34" i="1"/>
  <c r="AO34" i="1"/>
  <c r="AH34" i="1"/>
  <c r="AA34" i="1"/>
  <c r="T34" i="1"/>
  <c r="AX33" i="1"/>
  <c r="AW33" i="1"/>
  <c r="AO33" i="1"/>
  <c r="AH33" i="1"/>
  <c r="AA33" i="1"/>
  <c r="T33" i="1"/>
  <c r="AX32" i="1"/>
  <c r="AW32" i="1"/>
  <c r="AO32" i="1"/>
  <c r="AH32" i="1"/>
  <c r="AA32" i="1"/>
  <c r="T32" i="1"/>
  <c r="AX31" i="1"/>
  <c r="AW31" i="1"/>
  <c r="AO31" i="1"/>
  <c r="AH31" i="1"/>
  <c r="AA31" i="1"/>
  <c r="T31" i="1"/>
  <c r="AX30" i="1"/>
  <c r="AW30" i="1"/>
  <c r="AO30" i="1"/>
  <c r="AH30" i="1"/>
  <c r="AA30" i="1"/>
  <c r="T30" i="1"/>
  <c r="AX29" i="1"/>
  <c r="AW29" i="1"/>
  <c r="AO29" i="1"/>
  <c r="AH29" i="1"/>
  <c r="AA29" i="1"/>
  <c r="T29" i="1"/>
  <c r="AX28" i="1"/>
  <c r="AW28" i="1"/>
  <c r="AO28" i="1"/>
  <c r="AH28" i="1"/>
  <c r="T28" i="1"/>
  <c r="AX27" i="1"/>
  <c r="AW27" i="1"/>
  <c r="AO27" i="1"/>
  <c r="AH27" i="1"/>
  <c r="T27" i="1"/>
  <c r="AX26" i="1"/>
  <c r="AW26" i="1"/>
  <c r="AO26" i="1"/>
  <c r="AH26" i="1"/>
  <c r="T26" i="1"/>
  <c r="AX25" i="1"/>
  <c r="AW25" i="1"/>
  <c r="AO25" i="1"/>
  <c r="AH25" i="1"/>
  <c r="T25" i="1"/>
  <c r="AX24" i="1"/>
  <c r="AW24" i="1"/>
  <c r="AO24" i="1"/>
  <c r="AH24" i="1"/>
  <c r="T24" i="1"/>
  <c r="AX23" i="1"/>
  <c r="AW23" i="1"/>
  <c r="AO23" i="1"/>
  <c r="AH23" i="1"/>
  <c r="T23" i="1"/>
  <c r="AX22" i="1"/>
  <c r="AW22" i="1"/>
  <c r="AC22" i="1" s="1"/>
  <c r="AO22" i="1"/>
  <c r="AH22" i="1"/>
  <c r="AA22" i="1"/>
  <c r="AD22" i="1" s="1"/>
  <c r="AE22" i="1" s="1"/>
  <c r="AF22" i="1" s="1"/>
  <c r="T22" i="1"/>
  <c r="AX21" i="1"/>
  <c r="AW21" i="1"/>
  <c r="AC21" i="1" s="1"/>
  <c r="AO21" i="1"/>
  <c r="AH21" i="1"/>
  <c r="AA21" i="1"/>
  <c r="T21" i="1"/>
  <c r="AX20" i="1"/>
  <c r="AW20" i="1"/>
  <c r="AO20" i="1"/>
  <c r="AH20" i="1"/>
  <c r="AA20" i="1"/>
  <c r="T20" i="1"/>
  <c r="AX19" i="1"/>
  <c r="AW19" i="1"/>
  <c r="AO19" i="1"/>
  <c r="AH19" i="1"/>
  <c r="AA19" i="1"/>
  <c r="T19" i="1"/>
  <c r="AX18" i="1"/>
  <c r="AW18" i="1"/>
  <c r="AC18" i="1" s="1"/>
  <c r="AO18" i="1"/>
  <c r="AH18" i="1"/>
  <c r="AA18" i="1"/>
  <c r="T18" i="1"/>
  <c r="AX17" i="1"/>
  <c r="AW17" i="1"/>
  <c r="AC17" i="1" s="1"/>
  <c r="AO17" i="1"/>
  <c r="AH17" i="1"/>
  <c r="AB17" i="1"/>
  <c r="AB18" i="1" s="1"/>
  <c r="AB19" i="1" s="1"/>
  <c r="AB20" i="1" s="1"/>
  <c r="AA17" i="1"/>
  <c r="T17" i="1"/>
  <c r="AX16" i="1"/>
  <c r="AW16" i="1"/>
  <c r="AO16" i="1"/>
  <c r="AH16" i="1"/>
  <c r="AA16" i="1"/>
  <c r="T16" i="1"/>
  <c r="AX15" i="1"/>
  <c r="AW15" i="1"/>
  <c r="AO15" i="1"/>
  <c r="AH15" i="1"/>
  <c r="AA15" i="1"/>
  <c r="T15" i="1"/>
  <c r="AX14" i="1"/>
  <c r="AW14" i="1"/>
  <c r="AO14" i="1"/>
  <c r="AH14" i="1"/>
  <c r="AA14" i="1"/>
  <c r="T14" i="1"/>
  <c r="AX13" i="1"/>
  <c r="AW13" i="1"/>
  <c r="AO13" i="1"/>
  <c r="AH13" i="1"/>
  <c r="AA13" i="1"/>
  <c r="T13" i="1"/>
  <c r="AX12" i="1"/>
  <c r="AW12" i="1"/>
  <c r="AO12" i="1"/>
  <c r="AH12" i="1"/>
  <c r="AA12" i="1"/>
  <c r="T12" i="1"/>
  <c r="AX11" i="1"/>
  <c r="AW11" i="1"/>
  <c r="AO11" i="1"/>
  <c r="AH11" i="1"/>
  <c r="AA11" i="1"/>
  <c r="T11" i="1"/>
  <c r="AX10" i="1"/>
  <c r="AW10" i="1"/>
  <c r="AO10" i="1"/>
  <c r="AH10" i="1"/>
  <c r="AA10" i="1"/>
  <c r="T10" i="1"/>
  <c r="AX9" i="1"/>
  <c r="AW9" i="1"/>
  <c r="AO9" i="1"/>
  <c r="AH9" i="1"/>
  <c r="AA9" i="1"/>
  <c r="T9" i="1"/>
  <c r="AX8" i="1"/>
  <c r="AW8" i="1"/>
  <c r="AX7" i="1"/>
  <c r="AW7" i="1"/>
  <c r="AX6" i="1"/>
  <c r="AW6" i="1"/>
  <c r="AX5" i="1"/>
  <c r="AW5" i="1"/>
  <c r="AX4" i="1"/>
  <c r="AW4" i="1"/>
  <c r="AS4" i="1"/>
  <c r="AM4" i="1"/>
  <c r="AM5" i="1" s="1"/>
  <c r="AL4" i="1"/>
  <c r="AE4" i="1"/>
  <c r="AI3" i="1"/>
  <c r="AP3" i="1" s="1"/>
  <c r="AF3" i="1"/>
  <c r="AM3" i="1" s="1"/>
  <c r="AT3" i="1" s="1"/>
  <c r="AE3" i="1"/>
  <c r="AL3" i="1" s="1"/>
  <c r="AS3" i="1" s="1"/>
  <c r="AD3" i="1"/>
  <c r="AK3" i="1" s="1"/>
  <c r="AR3" i="1" s="1"/>
  <c r="AC3" i="1"/>
  <c r="AJ3" i="1" s="1"/>
  <c r="AQ3" i="1" s="1"/>
  <c r="AB3" i="1"/>
  <c r="AA3" i="1"/>
  <c r="AH3" i="1" s="1"/>
  <c r="AO3" i="1" s="1"/>
  <c r="AU148" i="1" l="1"/>
  <c r="AU149" i="1"/>
  <c r="AU156" i="1"/>
  <c r="AU132" i="1"/>
  <c r="AD19" i="1"/>
  <c r="AE19" i="1" s="1"/>
  <c r="AF19" i="1" s="1"/>
  <c r="AU127" i="1"/>
  <c r="AU164" i="1"/>
  <c r="AU105" i="1"/>
  <c r="AU141" i="1"/>
  <c r="AQ151" i="1"/>
  <c r="AU152" i="1" s="1"/>
  <c r="AQ167" i="1"/>
  <c r="AU167" i="1" s="1"/>
  <c r="AC20" i="1"/>
  <c r="AG20" i="1" s="1"/>
  <c r="AQ97" i="1"/>
  <c r="AU97" i="1" s="1"/>
  <c r="AQ103" i="1"/>
  <c r="AU103" i="1" s="1"/>
  <c r="AQ104" i="1"/>
  <c r="AQ114" i="1"/>
  <c r="AU114" i="1" s="1"/>
  <c r="AQ120" i="1"/>
  <c r="AQ128" i="1"/>
  <c r="AU128" i="1" s="1"/>
  <c r="AQ160" i="1"/>
  <c r="AU160" i="1" s="1"/>
  <c r="AQ180" i="1"/>
  <c r="AU180" i="1" s="1"/>
  <c r="AQ183" i="1"/>
  <c r="AU183" i="1" s="1"/>
  <c r="AU94" i="1"/>
  <c r="AU113" i="1"/>
  <c r="AU150" i="1"/>
  <c r="AC19" i="1"/>
  <c r="AG19" i="1" s="1"/>
  <c r="AQ98" i="1"/>
  <c r="AU98" i="1" s="1"/>
  <c r="AQ101" i="1"/>
  <c r="AU101" i="1" s="1"/>
  <c r="AQ111" i="1"/>
  <c r="AU111" i="1" s="1"/>
  <c r="AQ112" i="1"/>
  <c r="AQ143" i="1"/>
  <c r="AU144" i="1" s="1"/>
  <c r="AQ146" i="1"/>
  <c r="AU147" i="1" s="1"/>
  <c r="AQ178" i="1"/>
  <c r="AU179" i="1" s="1"/>
  <c r="AQ174" i="1"/>
  <c r="AU174" i="1" s="1"/>
  <c r="AU99" i="1"/>
  <c r="AU181" i="1"/>
  <c r="AU159" i="1"/>
  <c r="AU165" i="1"/>
  <c r="AQ107" i="1"/>
  <c r="AU108" i="1" s="1"/>
  <c r="AQ168" i="1"/>
  <c r="AQ173" i="1"/>
  <c r="AU173" i="1" s="1"/>
  <c r="AU172" i="1"/>
  <c r="AQ176" i="1"/>
  <c r="AU176" i="1" s="1"/>
  <c r="AG21" i="1"/>
  <c r="AU115" i="1"/>
  <c r="AD17" i="1"/>
  <c r="AE17" i="1" s="1"/>
  <c r="AF17" i="1" s="1"/>
  <c r="AG22" i="1"/>
  <c r="AB21" i="1"/>
  <c r="AB22" i="1" s="1"/>
  <c r="AD20" i="1"/>
  <c r="AE20" i="1" s="1"/>
  <c r="AF20" i="1" s="1"/>
  <c r="AU120" i="1"/>
  <c r="AU95" i="1"/>
  <c r="AU96" i="1"/>
  <c r="AR94" i="1"/>
  <c r="AS94" i="1" s="1"/>
  <c r="AT94" i="1" s="1"/>
  <c r="AP95" i="1"/>
  <c r="AG18" i="1"/>
  <c r="AD18" i="1"/>
  <c r="AE18" i="1" s="1"/>
  <c r="AF18" i="1" s="1"/>
  <c r="AD21" i="1"/>
  <c r="AE21" i="1" s="1"/>
  <c r="AF21" i="1" s="1"/>
  <c r="AU100" i="1"/>
  <c r="AU125" i="1"/>
  <c r="AU126" i="1"/>
  <c r="AU107" i="1"/>
  <c r="AQ130" i="1"/>
  <c r="AU142" i="1"/>
  <c r="AU178" i="1"/>
  <c r="AR93" i="1"/>
  <c r="AS93" i="1" s="1"/>
  <c r="AT93" i="1" s="1"/>
  <c r="AU121" i="1"/>
  <c r="AU171" i="1"/>
  <c r="AU170" i="1"/>
  <c r="AU116" i="1"/>
  <c r="AU137" i="1"/>
  <c r="AQ162" i="1"/>
  <c r="AU182" i="1"/>
  <c r="AU122" i="1"/>
  <c r="AQ138" i="1"/>
  <c r="AU151" i="1"/>
  <c r="V97" i="1"/>
  <c r="AU136" i="1"/>
  <c r="AU184" i="1"/>
  <c r="AQ154" i="1"/>
  <c r="AQ118" i="1"/>
  <c r="AU118" i="1" s="1"/>
  <c r="AQ119" i="1"/>
  <c r="AU119" i="1" s="1"/>
  <c r="AQ123" i="1"/>
  <c r="AU123" i="1" s="1"/>
  <c r="AU129" i="1"/>
  <c r="AQ133" i="1"/>
  <c r="AU133" i="1" s="1"/>
  <c r="AU143" i="1"/>
  <c r="AU153" i="1"/>
  <c r="AU166" i="1"/>
  <c r="AU177" i="1" l="1"/>
  <c r="AU161" i="1"/>
  <c r="AU168" i="1"/>
  <c r="AU175" i="1"/>
  <c r="AU124" i="1"/>
  <c r="AU146" i="1"/>
  <c r="AU112" i="1"/>
  <c r="AU102" i="1"/>
  <c r="AU104" i="1"/>
  <c r="AU169" i="1"/>
  <c r="AU139" i="1"/>
  <c r="AU138" i="1"/>
  <c r="AU163" i="1"/>
  <c r="AU162" i="1"/>
  <c r="AU130" i="1"/>
  <c r="AU131" i="1"/>
  <c r="AU134" i="1"/>
  <c r="W97" i="1"/>
  <c r="Y97" i="1" s="1"/>
  <c r="V98" i="1"/>
  <c r="AR95" i="1"/>
  <c r="AS95" i="1" s="1"/>
  <c r="AT95" i="1" s="1"/>
  <c r="AP96" i="1"/>
  <c r="AU155" i="1"/>
  <c r="AU154" i="1"/>
  <c r="AF4" i="1"/>
  <c r="AF5" i="1" s="1"/>
  <c r="AR96" i="1" l="1"/>
  <c r="AS96" i="1" s="1"/>
  <c r="AT96" i="1" s="1"/>
  <c r="AP97" i="1"/>
  <c r="W98" i="1"/>
  <c r="Y98" i="1" s="1"/>
  <c r="V99" i="1"/>
  <c r="W99" i="1" l="1"/>
  <c r="Y99" i="1" s="1"/>
  <c r="V100" i="1"/>
  <c r="AR97" i="1"/>
  <c r="AS97" i="1" s="1"/>
  <c r="AT97" i="1" s="1"/>
  <c r="AP98" i="1"/>
  <c r="AP99" i="1" s="1"/>
  <c r="AP100" i="1" s="1"/>
  <c r="AR100" i="1" l="1"/>
  <c r="AS100" i="1" s="1"/>
  <c r="AT100" i="1" s="1"/>
  <c r="AP101" i="1"/>
  <c r="W100" i="1"/>
  <c r="Y100" i="1" s="1"/>
  <c r="V101" i="1"/>
  <c r="V102" i="1" l="1"/>
  <c r="W101" i="1"/>
  <c r="Y101" i="1" s="1"/>
  <c r="AR101" i="1"/>
  <c r="AS101" i="1" s="1"/>
  <c r="AT101" i="1" s="1"/>
  <c r="AP102" i="1"/>
  <c r="AP103" i="1" l="1"/>
  <c r="AR102" i="1"/>
  <c r="AS102" i="1" s="1"/>
  <c r="AT102" i="1" s="1"/>
  <c r="V103" i="1"/>
  <c r="W102" i="1"/>
  <c r="Y102" i="1" s="1"/>
  <c r="V104" i="1" l="1"/>
  <c r="W103" i="1"/>
  <c r="Y103" i="1" s="1"/>
  <c r="AP104" i="1"/>
  <c r="AR103" i="1"/>
  <c r="AS103" i="1" s="1"/>
  <c r="AT103" i="1" s="1"/>
  <c r="AP105" i="1" l="1"/>
  <c r="AR104" i="1"/>
  <c r="AS104" i="1" s="1"/>
  <c r="AT104" i="1" s="1"/>
  <c r="V105" i="1"/>
  <c r="W104" i="1"/>
  <c r="Y104" i="1" s="1"/>
  <c r="V106" i="1" l="1"/>
  <c r="W105" i="1"/>
  <c r="Y105" i="1" s="1"/>
  <c r="AP106" i="1"/>
  <c r="AR105" i="1"/>
  <c r="AS105" i="1" s="1"/>
  <c r="AT105" i="1" s="1"/>
  <c r="AP107" i="1" l="1"/>
  <c r="AR106" i="1"/>
  <c r="AS106" i="1" s="1"/>
  <c r="AT106" i="1" s="1"/>
  <c r="V107" i="1"/>
  <c r="W106" i="1"/>
  <c r="Y106" i="1" s="1"/>
  <c r="V108" i="1" l="1"/>
  <c r="W107" i="1"/>
  <c r="Y107" i="1" s="1"/>
  <c r="AP108" i="1"/>
  <c r="AR107" i="1"/>
  <c r="AS107" i="1" s="1"/>
  <c r="AT107" i="1" s="1"/>
  <c r="AP109" i="1" l="1"/>
  <c r="AR108" i="1"/>
  <c r="AS108" i="1" s="1"/>
  <c r="AT108" i="1" s="1"/>
  <c r="V109" i="1"/>
  <c r="W108" i="1"/>
  <c r="Y108" i="1" s="1"/>
  <c r="V110" i="1" l="1"/>
  <c r="W109" i="1"/>
  <c r="Y109" i="1" s="1"/>
  <c r="AP110" i="1"/>
  <c r="AR109" i="1"/>
  <c r="AS109" i="1" s="1"/>
  <c r="AT109" i="1" s="1"/>
  <c r="AP111" i="1" l="1"/>
  <c r="AR110" i="1"/>
  <c r="AS110" i="1" s="1"/>
  <c r="AT110" i="1" s="1"/>
  <c r="V111" i="1"/>
  <c r="W110" i="1"/>
  <c r="Y110" i="1" s="1"/>
  <c r="V112" i="1" l="1"/>
  <c r="W111" i="1"/>
  <c r="Y111" i="1" s="1"/>
  <c r="AP112" i="1"/>
  <c r="AR111" i="1"/>
  <c r="AS111" i="1" s="1"/>
  <c r="AT111" i="1" s="1"/>
  <c r="AP113" i="1" l="1"/>
  <c r="AR112" i="1"/>
  <c r="AS112" i="1" s="1"/>
  <c r="AT112" i="1" s="1"/>
  <c r="V113" i="1"/>
  <c r="W112" i="1"/>
  <c r="Y112" i="1" s="1"/>
  <c r="AP114" i="1" l="1"/>
  <c r="AR113" i="1"/>
  <c r="AS113" i="1" s="1"/>
  <c r="AT113" i="1" s="1"/>
  <c r="V114" i="1"/>
  <c r="W113" i="1"/>
  <c r="Y113" i="1" s="1"/>
  <c r="V115" i="1" l="1"/>
  <c r="W114" i="1"/>
  <c r="Y114" i="1" s="1"/>
  <c r="AP115" i="1"/>
  <c r="AR114" i="1"/>
  <c r="AS114" i="1" s="1"/>
  <c r="AT114" i="1" s="1"/>
  <c r="AP116" i="1" l="1"/>
  <c r="AR115" i="1"/>
  <c r="AS115" i="1" s="1"/>
  <c r="AT115" i="1" s="1"/>
  <c r="V116" i="1"/>
  <c r="W115" i="1"/>
  <c r="Y115" i="1" s="1"/>
  <c r="W116" i="1" l="1"/>
  <c r="Y116" i="1" s="1"/>
  <c r="V117" i="1"/>
  <c r="AP117" i="1"/>
  <c r="AR116" i="1"/>
  <c r="AS116" i="1" s="1"/>
  <c r="AT116" i="1" s="1"/>
  <c r="AP118" i="1" l="1"/>
  <c r="AR117" i="1"/>
  <c r="AS117" i="1" s="1"/>
  <c r="AT117" i="1" s="1"/>
  <c r="V118" i="1"/>
  <c r="W117" i="1"/>
  <c r="Y117" i="1" s="1"/>
  <c r="V119" i="1" l="1"/>
  <c r="W118" i="1"/>
  <c r="Y118" i="1" s="1"/>
  <c r="AP119" i="1"/>
  <c r="AR118" i="1"/>
  <c r="AS118" i="1" s="1"/>
  <c r="AT118" i="1" s="1"/>
  <c r="AP120" i="1" l="1"/>
  <c r="AP121" i="1" s="1"/>
  <c r="AP122" i="1" s="1"/>
  <c r="AP123" i="1" s="1"/>
  <c r="AP124" i="1" s="1"/>
  <c r="AP125" i="1" s="1"/>
  <c r="AP126" i="1" s="1"/>
  <c r="AP127" i="1" s="1"/>
  <c r="AP128" i="1" s="1"/>
  <c r="AP129" i="1" s="1"/>
  <c r="AP130" i="1" s="1"/>
  <c r="AR119" i="1"/>
  <c r="AS119" i="1" s="1"/>
  <c r="AT119" i="1" s="1"/>
  <c r="W119" i="1"/>
  <c r="Y119" i="1" s="1"/>
  <c r="V120" i="1"/>
  <c r="AP131" i="1" l="1"/>
  <c r="AR130" i="1"/>
  <c r="AS130" i="1" s="1"/>
  <c r="AT130" i="1" s="1"/>
  <c r="W120" i="1"/>
  <c r="Y120" i="1" s="1"/>
  <c r="V121" i="1"/>
  <c r="V122" i="1" l="1"/>
  <c r="W122" i="1" s="1"/>
  <c r="Y122" i="1" s="1"/>
  <c r="W121" i="1"/>
  <c r="Y121" i="1" s="1"/>
  <c r="AP132" i="1"/>
  <c r="AP133" i="1" s="1"/>
  <c r="AP134" i="1" s="1"/>
  <c r="AP135" i="1" s="1"/>
  <c r="AP136" i="1" s="1"/>
  <c r="AP137" i="1" s="1"/>
  <c r="AR131" i="1"/>
  <c r="AS131" i="1" s="1"/>
  <c r="AT131" i="1" s="1"/>
  <c r="AR137" i="1" l="1"/>
  <c r="AS137" i="1" s="1"/>
  <c r="AT137" i="1" s="1"/>
  <c r="AP138" i="1"/>
  <c r="Y123" i="1"/>
  <c r="X128" i="1" s="1"/>
  <c r="AP139" i="1" l="1"/>
  <c r="AP140" i="1" s="1"/>
  <c r="AR138" i="1"/>
  <c r="AS138" i="1" s="1"/>
  <c r="AT138" i="1" s="1"/>
  <c r="AP141" i="1" l="1"/>
  <c r="AR140" i="1"/>
  <c r="AS140" i="1" s="1"/>
  <c r="AT140" i="1" s="1"/>
  <c r="AP142" i="1" l="1"/>
  <c r="AR141" i="1"/>
  <c r="AS141" i="1" s="1"/>
  <c r="AT141" i="1" s="1"/>
  <c r="AR142" i="1" l="1"/>
  <c r="AS142" i="1" s="1"/>
  <c r="AT142" i="1" s="1"/>
  <c r="AP143" i="1"/>
  <c r="AP144" i="1" l="1"/>
  <c r="AR143" i="1"/>
  <c r="AS143" i="1" s="1"/>
  <c r="AT143" i="1" s="1"/>
  <c r="AP145" i="1" l="1"/>
  <c r="AP146" i="1" s="1"/>
  <c r="AP147" i="1" s="1"/>
  <c r="AP148" i="1" s="1"/>
  <c r="AR144" i="1"/>
  <c r="AS144" i="1" s="1"/>
  <c r="AT144" i="1" s="1"/>
  <c r="AP149" i="1" l="1"/>
  <c r="AR148" i="1"/>
  <c r="AS148" i="1" s="1"/>
  <c r="AT148" i="1" s="1"/>
  <c r="AP150" i="1" l="1"/>
  <c r="AR149" i="1"/>
  <c r="AS149" i="1" s="1"/>
  <c r="AT149" i="1" s="1"/>
  <c r="AR150" i="1" l="1"/>
  <c r="AS150" i="1" s="1"/>
  <c r="AT150" i="1" s="1"/>
  <c r="AP151" i="1"/>
  <c r="AP152" i="1" l="1"/>
  <c r="AR151" i="1"/>
  <c r="AS151" i="1" s="1"/>
  <c r="AT151" i="1" s="1"/>
  <c r="AP153" i="1" l="1"/>
  <c r="AR152" i="1"/>
  <c r="AS152" i="1" s="1"/>
  <c r="AT152" i="1" s="1"/>
  <c r="AP154" i="1" l="1"/>
  <c r="AR153" i="1"/>
  <c r="AS153" i="1" s="1"/>
  <c r="AT153" i="1" s="1"/>
  <c r="AP155" i="1" l="1"/>
  <c r="AR154" i="1"/>
  <c r="AS154" i="1" s="1"/>
  <c r="AT154" i="1" s="1"/>
  <c r="AP156" i="1" l="1"/>
  <c r="AR155" i="1"/>
  <c r="AS155" i="1" s="1"/>
  <c r="AT155" i="1" s="1"/>
  <c r="AP157" i="1" l="1"/>
  <c r="AR156" i="1"/>
  <c r="AS156" i="1" s="1"/>
  <c r="AT156" i="1" s="1"/>
  <c r="AP158" i="1" l="1"/>
  <c r="AR157" i="1"/>
  <c r="AS157" i="1" s="1"/>
  <c r="AT157" i="1" s="1"/>
  <c r="AP159" i="1" l="1"/>
  <c r="AR158" i="1"/>
  <c r="AS158" i="1" s="1"/>
  <c r="AT158" i="1" s="1"/>
  <c r="AP160" i="1" l="1"/>
  <c r="AR159" i="1"/>
  <c r="AS159" i="1" s="1"/>
  <c r="AT159" i="1" s="1"/>
  <c r="AP161" i="1" l="1"/>
  <c r="AR160" i="1"/>
  <c r="AS160" i="1" s="1"/>
  <c r="AT160" i="1" s="1"/>
  <c r="AP162" i="1" l="1"/>
  <c r="AR161" i="1"/>
  <c r="AS161" i="1" s="1"/>
  <c r="AT161" i="1" s="1"/>
  <c r="AP163" i="1" l="1"/>
  <c r="AR162" i="1"/>
  <c r="AS162" i="1" s="1"/>
  <c r="AT162" i="1" s="1"/>
  <c r="AP164" i="1" l="1"/>
  <c r="AR163" i="1"/>
  <c r="AS163" i="1" s="1"/>
  <c r="AT163" i="1" s="1"/>
  <c r="AP165" i="1" l="1"/>
  <c r="AR164" i="1"/>
  <c r="AS164" i="1" s="1"/>
  <c r="AT164" i="1" s="1"/>
  <c r="AP166" i="1" l="1"/>
  <c r="AR165" i="1"/>
  <c r="AS165" i="1" s="1"/>
  <c r="AT165" i="1" s="1"/>
  <c r="AR166" i="1" l="1"/>
  <c r="AS166" i="1" s="1"/>
  <c r="AT166" i="1" s="1"/>
  <c r="AP167" i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R184" i="1" s="1"/>
  <c r="AS184" i="1" s="1"/>
  <c r="AT184" i="1" s="1"/>
  <c r="AT4" i="1" s="1"/>
  <c r="AT5" i="1" s="1"/>
</calcChain>
</file>

<file path=xl/sharedStrings.xml><?xml version="1.0" encoding="utf-8"?>
<sst xmlns="http://schemas.openxmlformats.org/spreadsheetml/2006/main" count="2263" uniqueCount="267">
  <si>
    <t>Секції КВЕД</t>
  </si>
  <si>
    <t>назва секції КВЕД</t>
  </si>
  <si>
    <t>Критерії групування інформації за обсягом із розподілом по платниках (згідно поданої звітності)</t>
  </si>
  <si>
    <t>перша група</t>
  </si>
  <si>
    <t>друга група</t>
  </si>
  <si>
    <t>третя група (фізичні особи - підприємці)</t>
  </si>
  <si>
    <t xml:space="preserve">платники з реєстрацією ПДВ </t>
  </si>
  <si>
    <t>платники без реєстрації ПДВ</t>
  </si>
  <si>
    <t>2 група</t>
  </si>
  <si>
    <t>1 група</t>
  </si>
  <si>
    <t>3 група з ПДВ</t>
  </si>
  <si>
    <t>3 група без ПДВ</t>
  </si>
  <si>
    <t>tech</t>
  </si>
  <si>
    <t>кількість</t>
  </si>
  <si>
    <t>Обсяг доходу, (F01033, F01034)
(код рядка 08), тис.грн.</t>
  </si>
  <si>
    <t>Надходження єдиного податку (1805),
(станом на 01.01.2025) тис.грн.</t>
  </si>
  <si>
    <t>Надходження військового збору (11011700),
(станом на 01.01.2025) тис.грн.</t>
  </si>
  <si>
    <t>зміна кількості фопів</t>
  </si>
  <si>
    <t>ФОП-ів теоретично</t>
  </si>
  <si>
    <t>Середня виручка, тис грн</t>
  </si>
  <si>
    <t>Сумарна виручка в теорії</t>
  </si>
  <si>
    <t>Виручка на практиці</t>
  </si>
  <si>
    <t>Аномалія понад нормою</t>
  </si>
  <si>
    <t>Нижн межа групи</t>
  </si>
  <si>
    <t>Верхня межа групи</t>
  </si>
  <si>
    <t>_I</t>
  </si>
  <si>
    <t>Тимчасове розмiщування й органiзацiя харчування</t>
  </si>
  <si>
    <t>від 0 грн. до 49999,99 грн.</t>
  </si>
  <si>
    <t>Total</t>
  </si>
  <si>
    <t>від 50000 грн. до 99999,99 грн.</t>
  </si>
  <si>
    <t>abuse index</t>
  </si>
  <si>
    <t>від 100000 грн. до 149999,99 грн.</t>
  </si>
  <si>
    <t>від 150000 грн. до 199999,99 грн.</t>
  </si>
  <si>
    <t>від 200000 грн. до 249999,99 грн.</t>
  </si>
  <si>
    <t>від 250000 грн. до 299999,99 грн.</t>
  </si>
  <si>
    <t/>
  </si>
  <si>
    <t>від 300000 грн. до 349999,99 грн.</t>
  </si>
  <si>
    <t>від 350000 грн. до 399999,99 грн.</t>
  </si>
  <si>
    <t>від 400000 грн. до 449999,99 грн.</t>
  </si>
  <si>
    <t>від 450000 грн. до 499999,99 грн.</t>
  </si>
  <si>
    <t>від 500000 грн. до 549999,99 грн.</t>
  </si>
  <si>
    <t>від 550000 грн. до 599999,99 грн.</t>
  </si>
  <si>
    <t>від 600000 грн. до 649999,99 грн.</t>
  </si>
  <si>
    <t>від 650000 грн. до 699999,99 грн.</t>
  </si>
  <si>
    <t>від 700000 грн. до 749999,99 грн.</t>
  </si>
  <si>
    <t>від 750000 грн. до 799999,99 грн.</t>
  </si>
  <si>
    <t>від 800000 грн. до 849999,99 грн.</t>
  </si>
  <si>
    <t>від 850000 грн. до 899999,99 грн.</t>
  </si>
  <si>
    <t>від 900000 грн. до 949999,99 грн.</t>
  </si>
  <si>
    <t>від 950000 грн. до 999999,99 грн.</t>
  </si>
  <si>
    <t>від 1000000 грн. до 1049999,99 грн.</t>
  </si>
  <si>
    <t>від 1050000 грн. до 1099999,99 грн.</t>
  </si>
  <si>
    <t>від 1100000 грн. до 1149999,99 грн.</t>
  </si>
  <si>
    <t>від 1150000 грн. до 1199999,99 грн.</t>
  </si>
  <si>
    <t>від 1200000 грн. до 1249999,99 грн.</t>
  </si>
  <si>
    <t>від 1250000 грн. до 1299999,99 грн.</t>
  </si>
  <si>
    <t>від 1300000 грн. до 1349999,99 грн.</t>
  </si>
  <si>
    <t>від 1350000 грн. до 1399999,99 грн.</t>
  </si>
  <si>
    <t>від 1400000 грн. до 1449999,99 грн.</t>
  </si>
  <si>
    <t>від 1450000 грн. до 1499999,99 грн.</t>
  </si>
  <si>
    <t>від 1500000 грн. до 1549999,99 грн.</t>
  </si>
  <si>
    <t>від 1550000 грн. до 1599999,99 грн.</t>
  </si>
  <si>
    <t>від 1600000 грн. до 1649999,99 грн.</t>
  </si>
  <si>
    <t>від 1650000 грн. до 1699999,99 грн.</t>
  </si>
  <si>
    <t>від 1700000 грн. до 1749999,99 грн.</t>
  </si>
  <si>
    <t>від 1750000 грн. до 1799999,99 грн.</t>
  </si>
  <si>
    <t>від 1800000 грн. до 1849999,99 грн.</t>
  </si>
  <si>
    <t>від 1850000 грн. до 1899999,99 грн.</t>
  </si>
  <si>
    <t>від 1900000 грн. до 1949999,99 грн.</t>
  </si>
  <si>
    <t>від 1950000 грн. до 1999999,99 грн.</t>
  </si>
  <si>
    <t>від 2000000 грн. до 2049999,99 грн.</t>
  </si>
  <si>
    <t>від 2050000 грн. до 2099999,99 грн.</t>
  </si>
  <si>
    <t>від 2100000 грн. до 2149999,99 грн.</t>
  </si>
  <si>
    <t>від 2150000 грн. до 2199999,99 грн.</t>
  </si>
  <si>
    <t>від 2200000 грн. до 2249999,99 грн.</t>
  </si>
  <si>
    <t>від 2250000 грн. до 2299999,99 грн.</t>
  </si>
  <si>
    <t>від 2300000 грн. до 2349999,99 грн.</t>
  </si>
  <si>
    <t>від 2350000 грн. до 2399999,99 грн.</t>
  </si>
  <si>
    <t>від 2400000 грн. до 2449999,99 грн.</t>
  </si>
  <si>
    <t>від 2450000 грн. до 2499999,99 грн.</t>
  </si>
  <si>
    <t>від 2500000 грн. до 2549999,99 грн.</t>
  </si>
  <si>
    <t>від 2550000 грн. до 2599999,99 грн.</t>
  </si>
  <si>
    <t>від 2600000 грн. до 2649999,99 грн.</t>
  </si>
  <si>
    <t>від 2650000 грн. до 2699999,99 грн.</t>
  </si>
  <si>
    <t>від 2700000 грн. до 2749999,99 грн.</t>
  </si>
  <si>
    <t>від 2750000 грн. до 2799999,99 грн.</t>
  </si>
  <si>
    <t>від 2800000 грн. до 2849999,99 грн.</t>
  </si>
  <si>
    <t>від 2850000 грн. до 2899999,99 грн.</t>
  </si>
  <si>
    <t>від 2900000 грн. до 2949999,99 грн.</t>
  </si>
  <si>
    <t>від 2950000 грн. до 2999999,99 грн.</t>
  </si>
  <si>
    <t>від 3000000 грн. до 3049999,99 грн.</t>
  </si>
  <si>
    <t>від 3050000 грн. до 3099999,99 грн.</t>
  </si>
  <si>
    <t>від 3100000 грн. до 3149999,99 грн.</t>
  </si>
  <si>
    <t>від 3150000 грн. до 3199999,99 грн.</t>
  </si>
  <si>
    <t>від 3200000 грн. до 3249999,99 грн.</t>
  </si>
  <si>
    <t>від 3250000 грн. до 3299999,99 грн.</t>
  </si>
  <si>
    <t>від 3300000 грн. до 3349999,99 грн.</t>
  </si>
  <si>
    <t>від 3350000 грн. до 3399999,99 грн.</t>
  </si>
  <si>
    <t>від 3400000 грн. до 3449999,99 грн.</t>
  </si>
  <si>
    <t>від 3450000 грн. до 3499999,99 грн.</t>
  </si>
  <si>
    <t>від 3500000 грн. до 3549999,99 грн.</t>
  </si>
  <si>
    <t>від 3550000 грн. до 3599999,99 грн.</t>
  </si>
  <si>
    <t>від 3600000 грн. до 3649999,99 грн.</t>
  </si>
  <si>
    <t>від 3650000 грн. до 3699999,99 грн.</t>
  </si>
  <si>
    <t>від 3700000 грн. до 3749999,99 грн.</t>
  </si>
  <si>
    <t>від 3750000 грн. до 3799999,99 грн.</t>
  </si>
  <si>
    <t>від 3800000 грн. до 3849999,99 грн.</t>
  </si>
  <si>
    <t>від 3850000 грн. до 3899999,99 грн.</t>
  </si>
  <si>
    <t>від 3900000 грн. до 3949999,99 грн.</t>
  </si>
  <si>
    <t>від 3950000 грн. до 3999999,99 грн.</t>
  </si>
  <si>
    <t>від 4000000 грн. до 4049999,99 грн.</t>
  </si>
  <si>
    <t>від 4050000 грн. до 4099999,99 грн.</t>
  </si>
  <si>
    <t>від 4100000 грн. до 4149999,99 грн.</t>
  </si>
  <si>
    <t>від 4150000 грн. до 4199999,99 грн.</t>
  </si>
  <si>
    <t>від 4200000 грн. до 4249999,99 грн.</t>
  </si>
  <si>
    <t>від 4250000 грн. до 4299999,99 грн.</t>
  </si>
  <si>
    <t>від 4300000 грн. до 4349999,99 грн.</t>
  </si>
  <si>
    <t>від 4350000 грн. до 4399999,99 грн.</t>
  </si>
  <si>
    <t>від 4400000 грн. до 4449999,99 грн.</t>
  </si>
  <si>
    <t>від 4450000 грн. до 4499999,99 грн.</t>
  </si>
  <si>
    <t>тис. грн</t>
  </si>
  <si>
    <t>від 4500000 грн. до 4549999,99 грн.</t>
  </si>
  <si>
    <t>Середня виручка</t>
  </si>
  <si>
    <t>від 4550000 грн. до 4599999,99 грн.</t>
  </si>
  <si>
    <t>від 4600000 грн. до 4649999,99 грн.</t>
  </si>
  <si>
    <t>від 4650000 грн. до 4699999,99 грн.</t>
  </si>
  <si>
    <t>від 4700000 грн. до 4749999,99 грн.</t>
  </si>
  <si>
    <t>від 4750000 грн. до 4799999,99 грн.</t>
  </si>
  <si>
    <t>від 4800000 грн. до 4849999,99 грн.</t>
  </si>
  <si>
    <t>від 4850000 грн. до 4899999,99 грн.</t>
  </si>
  <si>
    <t>від 4900000 грн. до 4949999,99 грн.</t>
  </si>
  <si>
    <t>від 4950000 грн. до 4999999,99 грн.</t>
  </si>
  <si>
    <t>від 5000000 грн. до 5049999,99 грн.</t>
  </si>
  <si>
    <t>від 5050000 грн. до 5099999,99 грн.</t>
  </si>
  <si>
    <t>від 5100000 грн. до 5149999,99 грн.</t>
  </si>
  <si>
    <t>від 5150000 грн. до 5199999,99 грн.</t>
  </si>
  <si>
    <t>від 5200000 грн. до 5249999,99 грн.</t>
  </si>
  <si>
    <t>від 5250000 грн. до 5299999,99 грн.</t>
  </si>
  <si>
    <t>від 5300000 грн. до 5349999,99 грн.</t>
  </si>
  <si>
    <t>від 5350000 грн. до 5399999,99 грн.</t>
  </si>
  <si>
    <t>від 5400000 грн. до 5449999,99 грн.</t>
  </si>
  <si>
    <t>від 5450000 грн. до 5499999,99 грн.</t>
  </si>
  <si>
    <t>від 5500000 грн. до 5549999,99 грн.</t>
  </si>
  <si>
    <t>від 5550000 грн. до 5599999,99 грн.</t>
  </si>
  <si>
    <t>від 5600000 грн. до 5649999,99 грн.</t>
  </si>
  <si>
    <t>від 5650000 грн. до 5699999,99 грн.</t>
  </si>
  <si>
    <t>від 5700000 грн. до 5749999,99 грн.</t>
  </si>
  <si>
    <t>від 5750000 грн. до 5799999,99 грн.</t>
  </si>
  <si>
    <t>від 5800000 грн. до 5849999,99 грн.</t>
  </si>
  <si>
    <t>від 5850000 грн. до 5899999,99 грн.</t>
  </si>
  <si>
    <t>від 5900000 грн. до 5949999,99 грн.</t>
  </si>
  <si>
    <t>від 5950000 грн. до 5999999,99 грн.</t>
  </si>
  <si>
    <t>від 6000000 грн. до 6049999,99 грн.</t>
  </si>
  <si>
    <t>від 6050000 грн. до 6099999,99 грн.</t>
  </si>
  <si>
    <t>від 6100000 грн. до 6149999,99 грн.</t>
  </si>
  <si>
    <t>Всього виручка 2 групи:</t>
  </si>
  <si>
    <t>від 6150000 грн. до 6199999,99 грн.</t>
  </si>
  <si>
    <t>(до ліміту)</t>
  </si>
  <si>
    <t>від 6200000 грн. до 6249999,99 грн.</t>
  </si>
  <si>
    <t>Індекс зловживання:</t>
  </si>
  <si>
    <t>від 6250000 грн. до 6299999,99 грн.</t>
  </si>
  <si>
    <t>від 6300000 грн. до 6349999,99 грн.</t>
  </si>
  <si>
    <t>від 6350000 грн. до 6399999,99 грн.</t>
  </si>
  <si>
    <t>від 6400000 грн. до 6449999,99 грн.</t>
  </si>
  <si>
    <t>від 6450000 грн. до 6499999,99 грн.</t>
  </si>
  <si>
    <t>від 6500000 грн. до 6549999,99 грн.</t>
  </si>
  <si>
    <t>від 6550000 грн. до 6599999,99 грн.</t>
  </si>
  <si>
    <t>від 6600000 грн. до 6649999,99 грн.</t>
  </si>
  <si>
    <t>від 6650000 грн. до 6699999,99 грн.</t>
  </si>
  <si>
    <t>від 6700000 грн. до 6749999,99 грн.</t>
  </si>
  <si>
    <t>від 6750000 грн. до 6799999,99 грн.</t>
  </si>
  <si>
    <t>від 6800000 грн. до 6849999,99 грн.</t>
  </si>
  <si>
    <t>від 6850000 грн. до 6899999,99 грн.</t>
  </si>
  <si>
    <t>від 6900000 грн. до 6949999,99 грн.</t>
  </si>
  <si>
    <t>від 6950000 грн. до 6999999,99 грн.</t>
  </si>
  <si>
    <t>від 7000000 грн. до 7049999,99 грн.</t>
  </si>
  <si>
    <t>від 7050000 грн. до 7099999,99 грн.</t>
  </si>
  <si>
    <t>від 7100000 грн. до 7149999,99 грн.</t>
  </si>
  <si>
    <t>від 7150000 грн. до 7199999,99 грн.</t>
  </si>
  <si>
    <t>від 7200000 грн. до 7249999,99 грн.</t>
  </si>
  <si>
    <t>від 7250000 грн. до 7299999,99 грн.</t>
  </si>
  <si>
    <t>від 7300000 грн. до 7349999,99 грн.</t>
  </si>
  <si>
    <t>від 7350000 грн. до 7399999,99 грн.</t>
  </si>
  <si>
    <t>від 7400000 грн. до 7449999,99 грн.</t>
  </si>
  <si>
    <t>від 7450000 грн. до 7499999,99 грн.</t>
  </si>
  <si>
    <t>від 7500000 грн. до 7549999,99 грн.</t>
  </si>
  <si>
    <t>від 7550000 грн. до 7599999,99 грн.</t>
  </si>
  <si>
    <t>від 7600000 грн. до 7649999,99 грн.</t>
  </si>
  <si>
    <t>від 7650000 грн. до 7699999,99 грн.</t>
  </si>
  <si>
    <t>від 7700000 грн. до 7749999,99 грн.</t>
  </si>
  <si>
    <t>від 7750000 грн. до 7799999,99 грн.</t>
  </si>
  <si>
    <t>від 7800000 грн. до 7849999,99 грн.</t>
  </si>
  <si>
    <t>від 7850000 грн. до 7899999,99 грн.</t>
  </si>
  <si>
    <t>від 7900000 грн. до 7949999,99 грн.</t>
  </si>
  <si>
    <t>від 7950000 грн. до 7999999,99 грн.</t>
  </si>
  <si>
    <t>від 8000000 грн. до 8049999,99 грн.</t>
  </si>
  <si>
    <t>від 8050000 грн. до 8099999,99 грн.</t>
  </si>
  <si>
    <t>від 8100000 грн. до 8149999,99 грн.</t>
  </si>
  <si>
    <t>від 8150000 грн. до 8199999,99 грн.</t>
  </si>
  <si>
    <t>від 8200000 грн. до 8249999,99 грн.</t>
  </si>
  <si>
    <t>від 8250000 грн. до 8299999,99 грн.</t>
  </si>
  <si>
    <t>від 8300000 грн. до 8349999,99 грн.</t>
  </si>
  <si>
    <t>від 8350000 грн. до 8399999,99 грн.</t>
  </si>
  <si>
    <t>від 8400000 грн. до 8449999,99 грн.</t>
  </si>
  <si>
    <t>від 8450000 грн. до 8499999,99 грн.</t>
  </si>
  <si>
    <t>від 8500000 грн. до 8549999,99 грн.</t>
  </si>
  <si>
    <t>від 8550000 грн. до 8599999,99 грн.</t>
  </si>
  <si>
    <t>від 8600000 грн. до 8649999,99 грн.</t>
  </si>
  <si>
    <t>від 8650000 грн. до 8699999,99 грн.</t>
  </si>
  <si>
    <t>від 8700000 грн. до 8749999,99 грн.</t>
  </si>
  <si>
    <t>від 8850000 грн. до 8899999,99 грн.</t>
  </si>
  <si>
    <t>від 9100000 грн. до 9149999,99 грн.</t>
  </si>
  <si>
    <t>від 9150000 грн. до 9199999,99 грн.</t>
  </si>
  <si>
    <t>від 9250000 грн. до 9299999,99 грн.</t>
  </si>
  <si>
    <t>від 9300000 грн. до 9349999,99 грн.</t>
  </si>
  <si>
    <t>від 9450000 грн. до 9499999,99 грн.</t>
  </si>
  <si>
    <t>від 9500000 грн. до 9549999,99 грн.</t>
  </si>
  <si>
    <t>від 9600000 грн. до 9649999,99 грн.</t>
  </si>
  <si>
    <t>від 9650000 грн. до 9699999,99 грн.</t>
  </si>
  <si>
    <t>від 9800000 грн. до 9849999,99 грн.</t>
  </si>
  <si>
    <t>від 9900000 грн. до 9949999,99 грн.</t>
  </si>
  <si>
    <t>від 10100000 грн. до 10149999,99 грн.</t>
  </si>
  <si>
    <t>від 10200000 грн. до 10249999,99 грн.</t>
  </si>
  <si>
    <t>від 11800000 грн. до 11849999,99 грн.</t>
  </si>
  <si>
    <t>від 12500000 грн. до 12549999,99 грн.</t>
  </si>
  <si>
    <t>від 13700000 грн. до 13749999,99 грн.</t>
  </si>
  <si>
    <t>від 14250000 грн. до 14299999,99 грн.</t>
  </si>
  <si>
    <t>від 14400000 грн. до 14449999,99 грн.</t>
  </si>
  <si>
    <t>від 14750000 грн. до 14799999,99 грн.</t>
  </si>
  <si>
    <t>&lt;0,05-0,1</t>
  </si>
  <si>
    <t>0,1-0,2</t>
  </si>
  <si>
    <t>0,2-0,3</t>
  </si>
  <si>
    <t>0,3-0,4</t>
  </si>
  <si>
    <t>0,4-0,5</t>
  </si>
  <si>
    <t>0,5-0,6</t>
  </si>
  <si>
    <t>0,6-0,7</t>
  </si>
  <si>
    <t>0,7-0,8</t>
  </si>
  <si>
    <t>0,8-0,9</t>
  </si>
  <si>
    <t>0,9-1</t>
  </si>
  <si>
    <t>1-1,1</t>
  </si>
  <si>
    <t>Кількість ФОПів</t>
  </si>
  <si>
    <t>Інтервал обороту, млн грн</t>
  </si>
  <si>
    <t>ІI група</t>
  </si>
  <si>
    <t>&lt;0,05-0,5</t>
  </si>
  <si>
    <t>0,5-1</t>
  </si>
  <si>
    <t>1-1,5</t>
  </si>
  <si>
    <t>1,5-2</t>
  </si>
  <si>
    <t>2-2,5</t>
  </si>
  <si>
    <t>2,5-3</t>
  </si>
  <si>
    <t>3-3,5</t>
  </si>
  <si>
    <t>3,5-4</t>
  </si>
  <si>
    <t>4-4,5</t>
  </si>
  <si>
    <t>4,5-5</t>
  </si>
  <si>
    <t>5-5,5</t>
  </si>
  <si>
    <t>5,5-6</t>
  </si>
  <si>
    <t>6-6,5</t>
  </si>
  <si>
    <t>6,5-7</t>
  </si>
  <si>
    <t>7-7,5</t>
  </si>
  <si>
    <t>7,5-8</t>
  </si>
  <si>
    <t>ІII група. Платники ПДВ</t>
  </si>
  <si>
    <t>ІII група. Не платники ПДВ</t>
  </si>
  <si>
    <t>8-8,5</t>
  </si>
  <si>
    <t>8,5-&gt;9</t>
  </si>
  <si>
    <t>7,5-&gt;8</t>
  </si>
  <si>
    <t>1,1-1,2</t>
  </si>
  <si>
    <t>1,2-&gt;1,3</t>
  </si>
  <si>
    <t xml:space="preserve">І група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</si>
</sst>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Times New Roman"/>
      <family val="1"/>
      <charset val="204"/>
    </font>
    <font>
      <i/>
      <sz val="12"/>
      <color theme="1"/>
      <name val="Aptos Narrow"/>
      <family val="2"/>
      <scheme val="minor"/>
    </font>
    <font>
      <sz val="10"/>
      <name val="Times New Roman"/>
      <family val="1"/>
      <charset val="204"/>
    </font>
    <font>
      <sz val="12"/>
      <color theme="0" tint="-0.499984740745262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4" fontId="0" fillId="2" borderId="0" xfId="0" applyNumberFormat="1" applyFill="1"/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3" fontId="1" fillId="2" borderId="0" xfId="0" applyNumberFormat="1" applyFont="1" applyFill="1" applyAlignment="1">
      <alignment wrapText="1"/>
    </xf>
    <xf numFmtId="3" fontId="0" fillId="2" borderId="0" xfId="0" applyNumberForma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4" fillId="2" borderId="1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3" fontId="0" fillId="2" borderId="0" xfId="0" applyNumberFormat="1" applyFill="1"/>
    <xf numFmtId="4" fontId="5" fillId="2" borderId="0" xfId="0" applyNumberFormat="1" applyFont="1" applyFill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6" fillId="2" borderId="0" xfId="0" applyFont="1" applyFill="1"/>
    <xf numFmtId="3" fontId="7" fillId="2" borderId="0" xfId="0" applyNumberFormat="1" applyFont="1" applyFill="1"/>
    <xf numFmtId="0" fontId="7" fillId="2" borderId="0" xfId="0" applyFont="1" applyFill="1"/>
    <xf numFmtId="3" fontId="4" fillId="4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3" fontId="0" fillId="5" borderId="0" xfId="0" applyNumberFormat="1" applyFill="1"/>
    <xf numFmtId="3" fontId="0" fillId="3" borderId="0" xfId="0" applyNumberFormat="1" applyFill="1"/>
    <xf numFmtId="2" fontId="0" fillId="2" borderId="0" xfId="0" applyNumberFormat="1" applyFill="1"/>
    <xf numFmtId="3" fontId="0" fillId="0" borderId="0" xfId="0" applyNumberFormat="1"/>
    <xf numFmtId="0" fontId="7" fillId="0" borderId="0" xfId="0" applyFont="1"/>
    <xf numFmtId="17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  <a:r>
              <a:rPr lang="en-US" baseline="0"/>
              <a:t> Group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Кількість ФОПів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3"/>
                <c:pt idx="0">
                  <c:v>&lt;0,05-0,1</c:v>
                </c:pt>
                <c:pt idx="1">
                  <c:v>0,1-0,2</c:v>
                </c:pt>
                <c:pt idx="2">
                  <c:v>0,2-0,3</c:v>
                </c:pt>
                <c:pt idx="3">
                  <c:v>0,3-0,4</c:v>
                </c:pt>
                <c:pt idx="4">
                  <c:v>0,4-0,5</c:v>
                </c:pt>
                <c:pt idx="5">
                  <c:v>0,5-0,6</c:v>
                </c:pt>
                <c:pt idx="6">
                  <c:v>0,6-0,7</c:v>
                </c:pt>
                <c:pt idx="7">
                  <c:v>0,7-0,8</c:v>
                </c:pt>
                <c:pt idx="8">
                  <c:v>0,8-0,9</c:v>
                </c:pt>
                <c:pt idx="9">
                  <c:v>0,9-1</c:v>
                </c:pt>
                <c:pt idx="10">
                  <c:v>1-1,1</c:v>
                </c:pt>
                <c:pt idx="11">
                  <c:v>1,1-1,2</c:v>
                </c:pt>
                <c:pt idx="12">
                  <c:v>1,2-&gt;1,3</c:v>
                </c:pt>
              </c:strCache>
            </c:strRef>
          </c:cat>
          <c:val>
            <c:numRef>
              <c:f>Sheet2!$B$4:$B$16</c:f>
              <c:numCache>
                <c:formatCode>#,##0</c:formatCode>
                <c:ptCount val="13"/>
                <c:pt idx="0">
                  <c:v>46</c:v>
                </c:pt>
                <c:pt idx="1">
                  <c:v>23</c:v>
                </c:pt>
                <c:pt idx="2">
                  <c:v>12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15</c:v>
                </c:pt>
                <c:pt idx="10">
                  <c:v>3</c:v>
                </c:pt>
                <c:pt idx="11">
                  <c:v>5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6-D24B-8E07-D6FDDA1AE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059839"/>
        <c:axId val="1639069247"/>
      </c:barChart>
      <c:catAx>
        <c:axId val="163905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639069247"/>
        <c:crosses val="autoZero"/>
        <c:auto val="1"/>
        <c:lblAlgn val="ctr"/>
        <c:lblOffset val="100"/>
        <c:noMultiLvlLbl val="0"/>
      </c:catAx>
      <c:valAx>
        <c:axId val="16390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63905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 Group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Sheet2!$B$21</c:f>
              <c:strCache>
                <c:ptCount val="1"/>
                <c:pt idx="0">
                  <c:v>Кількість ФОПів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Sheet2!$A$22:$A$37</c:f>
              <c:strCache>
                <c:ptCount val="16"/>
                <c:pt idx="0">
                  <c:v>&lt;0,05-0,5</c:v>
                </c:pt>
                <c:pt idx="1">
                  <c:v>0,5-1</c:v>
                </c:pt>
                <c:pt idx="2">
                  <c:v>1-1,5</c:v>
                </c:pt>
                <c:pt idx="3">
                  <c:v>1,5-2</c:v>
                </c:pt>
                <c:pt idx="4">
                  <c:v>2-2,5</c:v>
                </c:pt>
                <c:pt idx="5">
                  <c:v>2,5-3</c:v>
                </c:pt>
                <c:pt idx="6">
                  <c:v>3-3,5</c:v>
                </c:pt>
                <c:pt idx="7">
                  <c:v>3,5-4</c:v>
                </c:pt>
                <c:pt idx="8">
                  <c:v>4-4,5</c:v>
                </c:pt>
                <c:pt idx="9">
                  <c:v>4,5-5</c:v>
                </c:pt>
                <c:pt idx="10">
                  <c:v>5-5,5</c:v>
                </c:pt>
                <c:pt idx="11">
                  <c:v>5,5-6</c:v>
                </c:pt>
                <c:pt idx="12">
                  <c:v>6-6,5</c:v>
                </c:pt>
                <c:pt idx="13">
                  <c:v>6,5-7</c:v>
                </c:pt>
                <c:pt idx="14">
                  <c:v>7-7,5</c:v>
                </c:pt>
                <c:pt idx="15">
                  <c:v>7,5-&gt;8</c:v>
                </c:pt>
              </c:strCache>
            </c:strRef>
          </c:cat>
          <c:val>
            <c:numRef>
              <c:f>Sheet2!$B$22:$B$37</c:f>
              <c:numCache>
                <c:formatCode>#,##0</c:formatCode>
                <c:ptCount val="16"/>
                <c:pt idx="0">
                  <c:v>8064</c:v>
                </c:pt>
                <c:pt idx="1">
                  <c:v>3864</c:v>
                </c:pt>
                <c:pt idx="2">
                  <c:v>3096</c:v>
                </c:pt>
                <c:pt idx="3">
                  <c:v>2508</c:v>
                </c:pt>
                <c:pt idx="4">
                  <c:v>2148</c:v>
                </c:pt>
                <c:pt idx="5">
                  <c:v>2084</c:v>
                </c:pt>
                <c:pt idx="6">
                  <c:v>1787</c:v>
                </c:pt>
                <c:pt idx="7">
                  <c:v>1779</c:v>
                </c:pt>
                <c:pt idx="8">
                  <c:v>1845</c:v>
                </c:pt>
                <c:pt idx="9">
                  <c:v>2166</c:v>
                </c:pt>
                <c:pt idx="10">
                  <c:v>3461</c:v>
                </c:pt>
                <c:pt idx="11">
                  <c:v>8057</c:v>
                </c:pt>
                <c:pt idx="12">
                  <c:v>177</c:v>
                </c:pt>
                <c:pt idx="13">
                  <c:v>40</c:v>
                </c:pt>
                <c:pt idx="14">
                  <c:v>11</c:v>
                </c:pt>
                <c:pt idx="1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5-4345-A7E7-F5FC70B3D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9633791"/>
        <c:axId val="1679635583"/>
      </c:barChart>
      <c:catAx>
        <c:axId val="167963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679635583"/>
        <c:crosses val="autoZero"/>
        <c:auto val="1"/>
        <c:lblAlgn val="ctr"/>
        <c:lblOffset val="100"/>
        <c:noMultiLvlLbl val="0"/>
      </c:catAx>
      <c:valAx>
        <c:axId val="167963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67963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Group (VAT payers)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Sheet2!$B$42</c:f>
              <c:strCache>
                <c:ptCount val="1"/>
                <c:pt idx="0">
                  <c:v>Кількість ФОПів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Sheet2!$A$43:$A$60</c:f>
              <c:strCache>
                <c:ptCount val="18"/>
                <c:pt idx="0">
                  <c:v>&lt;0,05-0,5</c:v>
                </c:pt>
                <c:pt idx="1">
                  <c:v>0,5-1</c:v>
                </c:pt>
                <c:pt idx="2">
                  <c:v>1-1,5</c:v>
                </c:pt>
                <c:pt idx="3">
                  <c:v>1,5-2</c:v>
                </c:pt>
                <c:pt idx="4">
                  <c:v>2-2,5</c:v>
                </c:pt>
                <c:pt idx="5">
                  <c:v>2,5-3</c:v>
                </c:pt>
                <c:pt idx="6">
                  <c:v>3-3,5</c:v>
                </c:pt>
                <c:pt idx="7">
                  <c:v>3,5-4</c:v>
                </c:pt>
                <c:pt idx="8">
                  <c:v>4-4,5</c:v>
                </c:pt>
                <c:pt idx="9">
                  <c:v>4,5-5</c:v>
                </c:pt>
                <c:pt idx="10">
                  <c:v>5-5,5</c:v>
                </c:pt>
                <c:pt idx="11">
                  <c:v>5,5-6</c:v>
                </c:pt>
                <c:pt idx="12">
                  <c:v>6-6,5</c:v>
                </c:pt>
                <c:pt idx="13">
                  <c:v>6,5-7</c:v>
                </c:pt>
                <c:pt idx="14">
                  <c:v>7-7,5</c:v>
                </c:pt>
                <c:pt idx="15">
                  <c:v>7,5-8</c:v>
                </c:pt>
                <c:pt idx="16">
                  <c:v>8-8,5</c:v>
                </c:pt>
                <c:pt idx="17">
                  <c:v>8,5-&gt;9</c:v>
                </c:pt>
              </c:strCache>
            </c:strRef>
          </c:cat>
          <c:val>
            <c:numRef>
              <c:f>Sheet2!$B$43:$B$60</c:f>
              <c:numCache>
                <c:formatCode>#,##0</c:formatCode>
                <c:ptCount val="18"/>
                <c:pt idx="0">
                  <c:v>18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9-4C4A-8602-39E8AC52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0100415"/>
        <c:axId val="1680111167"/>
      </c:barChart>
      <c:catAx>
        <c:axId val="168010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680111167"/>
        <c:crosses val="autoZero"/>
        <c:auto val="1"/>
        <c:lblAlgn val="ctr"/>
        <c:lblOffset val="100"/>
        <c:noMultiLvlLbl val="0"/>
      </c:catAx>
      <c:valAx>
        <c:axId val="168011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68010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3 </a:t>
            </a:r>
            <a:r>
              <a:rPr lang="en-US"/>
              <a:t>Group</a:t>
            </a:r>
            <a:r>
              <a:rPr lang="en-US" baseline="0"/>
              <a:t> (non-VAT payers)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Sheet2!$B$66</c:f>
              <c:strCache>
                <c:ptCount val="1"/>
                <c:pt idx="0">
                  <c:v>Кількість ФОПів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Sheet2!$A$67:$A$84</c:f>
              <c:strCache>
                <c:ptCount val="18"/>
                <c:pt idx="0">
                  <c:v>&lt;0,05-0,5</c:v>
                </c:pt>
                <c:pt idx="1">
                  <c:v>0,5-1</c:v>
                </c:pt>
                <c:pt idx="2">
                  <c:v>1-1,5</c:v>
                </c:pt>
                <c:pt idx="3">
                  <c:v>1,5-2</c:v>
                </c:pt>
                <c:pt idx="4">
                  <c:v>2-2,5</c:v>
                </c:pt>
                <c:pt idx="5">
                  <c:v>2,5-3</c:v>
                </c:pt>
                <c:pt idx="6">
                  <c:v>3-3,5</c:v>
                </c:pt>
                <c:pt idx="7">
                  <c:v>3,5-4</c:v>
                </c:pt>
                <c:pt idx="8">
                  <c:v>4-4,5</c:v>
                </c:pt>
                <c:pt idx="9">
                  <c:v>4,5-5</c:v>
                </c:pt>
                <c:pt idx="10">
                  <c:v>5-5,5</c:v>
                </c:pt>
                <c:pt idx="11">
                  <c:v>5,5-6</c:v>
                </c:pt>
                <c:pt idx="12">
                  <c:v>6-6,5</c:v>
                </c:pt>
                <c:pt idx="13">
                  <c:v>6,5-7</c:v>
                </c:pt>
                <c:pt idx="14">
                  <c:v>7-7,5</c:v>
                </c:pt>
                <c:pt idx="15">
                  <c:v>7,5-8</c:v>
                </c:pt>
                <c:pt idx="16">
                  <c:v>8-8,5</c:v>
                </c:pt>
                <c:pt idx="17">
                  <c:v>8,5-&gt;9</c:v>
                </c:pt>
              </c:strCache>
            </c:strRef>
          </c:cat>
          <c:val>
            <c:numRef>
              <c:f>Sheet2!$B$67:$B$84</c:f>
              <c:numCache>
                <c:formatCode>#,##0</c:formatCode>
                <c:ptCount val="18"/>
                <c:pt idx="0">
                  <c:v>4625</c:v>
                </c:pt>
                <c:pt idx="1">
                  <c:v>849</c:v>
                </c:pt>
                <c:pt idx="2">
                  <c:v>539</c:v>
                </c:pt>
                <c:pt idx="3">
                  <c:v>320</c:v>
                </c:pt>
                <c:pt idx="4">
                  <c:v>270</c:v>
                </c:pt>
                <c:pt idx="5">
                  <c:v>238</c:v>
                </c:pt>
                <c:pt idx="6">
                  <c:v>208</c:v>
                </c:pt>
                <c:pt idx="7">
                  <c:v>166</c:v>
                </c:pt>
                <c:pt idx="8">
                  <c:v>147</c:v>
                </c:pt>
                <c:pt idx="9">
                  <c:v>152</c:v>
                </c:pt>
                <c:pt idx="10">
                  <c:v>244</c:v>
                </c:pt>
                <c:pt idx="11">
                  <c:v>487</c:v>
                </c:pt>
                <c:pt idx="12">
                  <c:v>195</c:v>
                </c:pt>
                <c:pt idx="13">
                  <c:v>156</c:v>
                </c:pt>
                <c:pt idx="14">
                  <c:v>179</c:v>
                </c:pt>
                <c:pt idx="15">
                  <c:v>343</c:v>
                </c:pt>
                <c:pt idx="16">
                  <c:v>547</c:v>
                </c:pt>
                <c:pt idx="1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8-C943-8719-DBEE703E7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692031"/>
        <c:axId val="1650698751"/>
      </c:barChart>
      <c:catAx>
        <c:axId val="165069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650698751"/>
        <c:crosses val="autoZero"/>
        <c:auto val="1"/>
        <c:lblAlgn val="ctr"/>
        <c:lblOffset val="100"/>
        <c:noMultiLvlLbl val="0"/>
      </c:catAx>
      <c:valAx>
        <c:axId val="165069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65069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2</xdr:row>
      <xdr:rowOff>10160</xdr:rowOff>
    </xdr:from>
    <xdr:to>
      <xdr:col>8</xdr:col>
      <xdr:colOff>116840</xdr:colOff>
      <xdr:row>15</xdr:row>
      <xdr:rowOff>111760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2B22C-68C1-C72F-9131-8BE76D949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285035</xdr:colOff>
      <xdr:row>19</xdr:row>
      <xdr:rowOff>137730</xdr:rowOff>
    </xdr:from>
    <xdr:to>
      <xdr:col>7</xdr:col>
      <xdr:colOff>725710</xdr:colOff>
      <xdr:row>32</xdr:row>
      <xdr:rowOff>193308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43D35F-6876-F402-7BFE-29F75090A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464392</xdr:colOff>
      <xdr:row>43</xdr:row>
      <xdr:rowOff>124093</xdr:rowOff>
    </xdr:from>
    <xdr:to>
      <xdr:col>8</xdr:col>
      <xdr:colOff>78802</xdr:colOff>
      <xdr:row>56</xdr:row>
      <xdr:rowOff>181931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356A86-422D-B84E-1BD6-0B32D7E76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479692</xdr:colOff>
      <xdr:row>66</xdr:row>
      <xdr:rowOff>116442</xdr:rowOff>
    </xdr:from>
    <xdr:to>
      <xdr:col>8</xdr:col>
      <xdr:colOff>94102</xdr:colOff>
      <xdr:row>79</xdr:row>
      <xdr:rowOff>174280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C7184F-A2DD-C7B9-3CBF-86F0E760A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111033</xdr:colOff>
      <xdr:row>45</xdr:row>
      <xdr:rowOff>196787</xdr:rowOff>
    </xdr:from>
    <xdr:to>
      <xdr:col>6</xdr:col>
      <xdr:colOff>111034</xdr:colOff>
      <xdr:row>54</xdr:row>
      <xdr:rowOff>36125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30A5DF9-DF17-E565-789F-A2BE0D052637}"/>
            </a:ext>
          </a:extLst>
        </xdr:cNvPr>
        <xdr:cNvCxnSpPr/>
      </xdr:nvCxnSpPr>
      <xdr:spPr>
        <a:xfrm flipH="1">
          <a:off x="6256729" y="9390483"/>
          <a:ext cx="1" cy="1678077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819015</xdr:colOff>
      <xdr:row>45</xdr:row>
      <xdr:rowOff>145361</xdr:rowOff>
    </xdr:from>
    <xdr:to>
      <xdr:col>6</xdr:col>
      <xdr:colOff>212622</xdr:colOff>
      <xdr:row>48</xdr:row>
      <xdr:rowOff>91807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01548D6-565F-5CF9-D7A0-4244B913EEBE}"/>
            </a:ext>
          </a:extLst>
        </xdr:cNvPr>
        <xdr:cNvSpPr txBox="1"/>
      </xdr:nvSpPr>
      <xdr:spPr>
        <a:xfrm>
          <a:off x="5308189" y="9339057"/>
          <a:ext cx="1050129" cy="559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uk-UA" sz="900"/>
            <a:t>Ліміт обороту для 2 групи</a:t>
          </a:r>
          <a:endParaRPr lang="en-US" sz="900"/>
        </a:p>
      </xdr:txBody>
    </xdr:sp>
    <xdr:clientData/>
  </xdr:twoCellAnchor>
  <xdr:twoCellAnchor>
    <xdr:from>
      <xdr:col>7</xdr:col>
      <xdr:colOff>429085</xdr:colOff>
      <xdr:row>45</xdr:row>
      <xdr:rowOff>196787</xdr:rowOff>
    </xdr:from>
    <xdr:to>
      <xdr:col>7</xdr:col>
      <xdr:colOff>429086</xdr:colOff>
      <xdr:row>54</xdr:row>
      <xdr:rowOff>36125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DDDF1F5-6BBD-3E4E-B137-288A5E9003BD}"/>
            </a:ext>
          </a:extLst>
        </xdr:cNvPr>
        <xdr:cNvCxnSpPr/>
      </xdr:nvCxnSpPr>
      <xdr:spPr>
        <a:xfrm flipH="1">
          <a:off x="7403042" y="9390483"/>
          <a:ext cx="1" cy="1678077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308807</xdr:colOff>
      <xdr:row>45</xdr:row>
      <xdr:rowOff>145361</xdr:rowOff>
    </xdr:from>
    <xdr:to>
      <xdr:col>7</xdr:col>
      <xdr:colOff>530675</xdr:colOff>
      <xdr:row>48</xdr:row>
      <xdr:rowOff>91807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771765E-4D78-D244-BDB3-1122D38CC742}"/>
            </a:ext>
          </a:extLst>
        </xdr:cNvPr>
        <xdr:cNvSpPr txBox="1"/>
      </xdr:nvSpPr>
      <xdr:spPr>
        <a:xfrm>
          <a:off x="6454503" y="9339057"/>
          <a:ext cx="1050129" cy="559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uk-UA" sz="900"/>
            <a:t>Ліміт обороту для </a:t>
          </a:r>
          <a:r>
            <a:rPr lang="en-US" sz="900"/>
            <a:t>3</a:t>
          </a:r>
          <a:r>
            <a:rPr lang="uk-UA" sz="900"/>
            <a:t> групи</a:t>
          </a:r>
          <a:endParaRPr lang="en-US" sz="900"/>
        </a:p>
      </xdr:txBody>
    </xdr:sp>
    <xdr:clientData/>
  </xdr:twoCellAnchor>
  <xdr:twoCellAnchor>
    <xdr:from>
      <xdr:col>6</xdr:col>
      <xdr:colOff>166253</xdr:colOff>
      <xdr:row>68</xdr:row>
      <xdr:rowOff>178001</xdr:rowOff>
    </xdr:from>
    <xdr:to>
      <xdr:col>6</xdr:col>
      <xdr:colOff>166254</xdr:colOff>
      <xdr:row>77</xdr:row>
      <xdr:rowOff>17339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00CF46D-8CD2-8498-9D4B-82D2C789137D}"/>
            </a:ext>
          </a:extLst>
        </xdr:cNvPr>
        <xdr:cNvCxnSpPr/>
      </xdr:nvCxnSpPr>
      <xdr:spPr>
        <a:xfrm flipH="1">
          <a:off x="6311949" y="14070697"/>
          <a:ext cx="1" cy="1678077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45974</xdr:colOff>
      <xdr:row>68</xdr:row>
      <xdr:rowOff>126575</xdr:rowOff>
    </xdr:from>
    <xdr:to>
      <xdr:col>6</xdr:col>
      <xdr:colOff>267842</xdr:colOff>
      <xdr:row>71</xdr:row>
      <xdr:rowOff>73021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0255D59-20F8-96CE-D694-50BBB7E5EF73}"/>
            </a:ext>
          </a:extLst>
        </xdr:cNvPr>
        <xdr:cNvSpPr txBox="1"/>
      </xdr:nvSpPr>
      <xdr:spPr>
        <a:xfrm>
          <a:off x="5363409" y="14019271"/>
          <a:ext cx="1050129" cy="559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uk-UA" sz="900"/>
            <a:t>Ліміт обороту для 2 групи</a:t>
          </a:r>
          <a:endParaRPr lang="en-US" sz="900"/>
        </a:p>
      </xdr:txBody>
    </xdr:sp>
    <xdr:clientData/>
  </xdr:twoCellAnchor>
  <xdr:twoCellAnchor>
    <xdr:from>
      <xdr:col>7</xdr:col>
      <xdr:colOff>451173</xdr:colOff>
      <xdr:row>68</xdr:row>
      <xdr:rowOff>172479</xdr:rowOff>
    </xdr:from>
    <xdr:to>
      <xdr:col>7</xdr:col>
      <xdr:colOff>451174</xdr:colOff>
      <xdr:row>77</xdr:row>
      <xdr:rowOff>11817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1967126-AA15-359B-8D54-90BF063E27FC}"/>
            </a:ext>
          </a:extLst>
        </xdr:cNvPr>
        <xdr:cNvCxnSpPr/>
      </xdr:nvCxnSpPr>
      <xdr:spPr>
        <a:xfrm flipH="1">
          <a:off x="7425130" y="14065175"/>
          <a:ext cx="1" cy="1678077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330895</xdr:colOff>
      <xdr:row>68</xdr:row>
      <xdr:rowOff>121053</xdr:rowOff>
    </xdr:from>
    <xdr:to>
      <xdr:col>7</xdr:col>
      <xdr:colOff>552763</xdr:colOff>
      <xdr:row>71</xdr:row>
      <xdr:rowOff>67499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FBD6E41-0D28-9046-094F-141776F1F54C}"/>
            </a:ext>
          </a:extLst>
        </xdr:cNvPr>
        <xdr:cNvSpPr txBox="1"/>
      </xdr:nvSpPr>
      <xdr:spPr>
        <a:xfrm>
          <a:off x="6476591" y="14013749"/>
          <a:ext cx="1050129" cy="559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uk-UA" sz="900"/>
            <a:t>Ліміт обороту для </a:t>
          </a:r>
          <a:r>
            <a:rPr lang="en-US" sz="900"/>
            <a:t>3</a:t>
          </a:r>
          <a:r>
            <a:rPr lang="uk-UA" sz="900"/>
            <a:t> групи</a:t>
          </a:r>
          <a:endParaRPr lang="en-US" sz="900"/>
        </a:p>
      </xdr:txBody>
    </xdr:sp>
    <xdr:clientData/>
  </xdr:twoCellAnchor>
  <xdr:twoCellAnchor>
    <xdr:from>
      <xdr:col>6</xdr:col>
      <xdr:colOff>291041</xdr:colOff>
      <xdr:row>22</xdr:row>
      <xdr:rowOff>1318</xdr:rowOff>
    </xdr:from>
    <xdr:to>
      <xdr:col>6</xdr:col>
      <xdr:colOff>291042</xdr:colOff>
      <xdr:row>30</xdr:row>
      <xdr:rowOff>44961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BED1DA9-B353-0544-85B7-A04A987318DB}"/>
            </a:ext>
          </a:extLst>
        </xdr:cNvPr>
        <xdr:cNvCxnSpPr/>
      </xdr:nvCxnSpPr>
      <xdr:spPr>
        <a:xfrm flipH="1">
          <a:off x="6436737" y="4496014"/>
          <a:ext cx="1" cy="1678077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170762</xdr:colOff>
      <xdr:row>21</xdr:row>
      <xdr:rowOff>154197</xdr:rowOff>
    </xdr:from>
    <xdr:to>
      <xdr:col>6</xdr:col>
      <xdr:colOff>392630</xdr:colOff>
      <xdr:row>24</xdr:row>
      <xdr:rowOff>100643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97D0F06-1BEB-BB4F-8E33-6A68F899155B}"/>
            </a:ext>
          </a:extLst>
        </xdr:cNvPr>
        <xdr:cNvSpPr txBox="1"/>
      </xdr:nvSpPr>
      <xdr:spPr>
        <a:xfrm>
          <a:off x="5488197" y="4444588"/>
          <a:ext cx="1050129" cy="559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uk-UA" sz="900"/>
            <a:t>Ліміт обороту для 2 групи</a:t>
          </a:r>
          <a:endParaRPr lang="en-US" sz="900"/>
        </a:p>
      </xdr:txBody>
    </xdr:sp>
    <xdr:clientData/>
  </xdr:twoCellAnchor>
  <xdr:twoCellAnchor>
    <xdr:from>
      <xdr:col>7</xdr:col>
      <xdr:colOff>324582</xdr:colOff>
      <xdr:row>4</xdr:row>
      <xdr:rowOff>123209</xdr:rowOff>
    </xdr:from>
    <xdr:to>
      <xdr:col>7</xdr:col>
      <xdr:colOff>324583</xdr:colOff>
      <xdr:row>12</xdr:row>
      <xdr:rowOff>166851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6172265-6475-7C4F-871F-1AE8E8A2085A}"/>
            </a:ext>
          </a:extLst>
        </xdr:cNvPr>
        <xdr:cNvCxnSpPr/>
      </xdr:nvCxnSpPr>
      <xdr:spPr>
        <a:xfrm flipH="1">
          <a:off x="7298539" y="940426"/>
          <a:ext cx="1" cy="1678077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519042</xdr:colOff>
      <xdr:row>4</xdr:row>
      <xdr:rowOff>27608</xdr:rowOff>
    </xdr:from>
    <xdr:to>
      <xdr:col>7</xdr:col>
      <xdr:colOff>404084</xdr:colOff>
      <xdr:row>6</xdr:row>
      <xdr:rowOff>178358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AAE2DC7-C257-2847-95A7-B5ACA19BDAF2}"/>
            </a:ext>
          </a:extLst>
        </xdr:cNvPr>
        <xdr:cNvSpPr txBox="1"/>
      </xdr:nvSpPr>
      <xdr:spPr>
        <a:xfrm>
          <a:off x="6664738" y="844825"/>
          <a:ext cx="713303" cy="559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uk-UA" sz="800"/>
            <a:t>Ліміт обороту для </a:t>
          </a:r>
          <a:r>
            <a:rPr lang="en-US" sz="800"/>
            <a:t>1</a:t>
          </a:r>
          <a:r>
            <a:rPr lang="uk-UA" sz="800"/>
            <a:t> групи</a:t>
          </a:r>
          <a:endParaRPr lang="en-US" sz="800"/>
        </a:p>
      </xdr:txBody>
    </xdr:sp>
    <xdr:clientData/>
  </xdr:twoCellAnchor>
  <xdr:twoCellAnchor>
    <xdr:from>
      <xdr:col>6</xdr:col>
      <xdr:colOff>515634</xdr:colOff>
      <xdr:row>4</xdr:row>
      <xdr:rowOff>123209</xdr:rowOff>
    </xdr:from>
    <xdr:to>
      <xdr:col>6</xdr:col>
      <xdr:colOff>515635</xdr:colOff>
      <xdr:row>12</xdr:row>
      <xdr:rowOff>166851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0FB4990-17B5-E145-A488-75049B88899B}"/>
            </a:ext>
          </a:extLst>
        </xdr:cNvPr>
        <xdr:cNvCxnSpPr/>
      </xdr:nvCxnSpPr>
      <xdr:spPr>
        <a:xfrm flipH="1">
          <a:off x="6661330" y="940426"/>
          <a:ext cx="1" cy="1678077"/>
        </a:xfrm>
        <a:prstGeom prst="line">
          <a:avLst/>
        </a:prstGeom>
        <a:ln w="12700">
          <a:solidFill>
            <a:schemeClr val="bg1">
              <a:lumMod val="65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690217</xdr:colOff>
      <xdr:row>4</xdr:row>
      <xdr:rowOff>11045</xdr:rowOff>
    </xdr:from>
    <xdr:to>
      <xdr:col>6</xdr:col>
      <xdr:colOff>575259</xdr:colOff>
      <xdr:row>8</xdr:row>
      <xdr:rowOff>5522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02DFF57-B22C-E24F-97C8-71E7141D1B45}"/>
            </a:ext>
          </a:extLst>
        </xdr:cNvPr>
        <xdr:cNvSpPr txBox="1"/>
      </xdr:nvSpPr>
      <xdr:spPr>
        <a:xfrm>
          <a:off x="6007652" y="828262"/>
          <a:ext cx="713303" cy="811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uk-UA" sz="800"/>
            <a:t>Умовний</a:t>
          </a:r>
          <a:r>
            <a:rPr lang="uk-UA" sz="800" baseline="0"/>
            <a:t> психологічний ліміт в 1 млн грн.</a:t>
          </a:r>
          <a:endParaRPr lang="en-US" sz="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A173-C04E-F447-96DC-ACE6871C9990}">
  <sheetPr>
    <tabColor theme="9" tint="0.79998168889431442"/>
  </sheetPr>
  <dimension ref="A1:AX230"/>
  <sheetViews>
    <sheetView topLeftCell="B1" zoomScale="108" zoomScaleNormal="66" workbookViewId="0">
      <pane ySplit="5" topLeftCell="A17" activePane="bottomLeft" state="frozen"/>
      <selection activeCell="AA1" sqref="AA1"/>
      <selection pane="bottomLeft" activeCell="D26" sqref="D26:D27"/>
    </sheetView>
  </sheetViews>
  <sheetFormatPr baseColWidth="10" defaultColWidth="10.83203125" defaultRowHeight="16" x14ac:dyDescent="0.2"/>
  <cols>
    <col min="1" max="1" width="11" style="2" bestFit="1" customWidth="1"/>
    <col min="2" max="2" width="38.33203125" style="2" bestFit="1" customWidth="1"/>
    <col min="3" max="3" width="76.33203125" style="2" bestFit="1" customWidth="1"/>
    <col min="4" max="4" width="8.33203125" style="2" bestFit="1" customWidth="1"/>
    <col min="5" max="5" width="10.1640625" style="2" bestFit="1" customWidth="1"/>
    <col min="6" max="7" width="10.5" style="2" bestFit="1" customWidth="1"/>
    <col min="8" max="8" width="8.33203125" style="2" bestFit="1" customWidth="1"/>
    <col min="9" max="9" width="10.1640625" style="2" bestFit="1" customWidth="1"/>
    <col min="10" max="11" width="10.5" style="2" bestFit="1" customWidth="1"/>
    <col min="12" max="12" width="8.33203125" style="2" bestFit="1" customWidth="1"/>
    <col min="13" max="13" width="10.1640625" style="2" bestFit="1" customWidth="1"/>
    <col min="14" max="15" width="10.5" style="2" bestFit="1" customWidth="1"/>
    <col min="16" max="16" width="8.33203125" style="2" bestFit="1" customWidth="1"/>
    <col min="17" max="17" width="10.1640625" style="2" bestFit="1" customWidth="1"/>
    <col min="18" max="19" width="10.5" style="2" bestFit="1" customWidth="1"/>
    <col min="20" max="20" width="10.83203125" style="2"/>
    <col min="21" max="21" width="17.83203125" style="2" bestFit="1" customWidth="1"/>
    <col min="22" max="22" width="16" style="2" bestFit="1" customWidth="1"/>
    <col min="23" max="23" width="23" style="2" bestFit="1" customWidth="1"/>
    <col min="24" max="24" width="18.83203125" style="2" bestFit="1" customWidth="1"/>
    <col min="25" max="25" width="22.5" style="2" bestFit="1" customWidth="1"/>
    <col min="26" max="26" width="10.83203125" style="2"/>
    <col min="27" max="32" width="13.6640625" style="2" customWidth="1"/>
    <col min="33" max="33" width="10.83203125" style="2"/>
    <col min="34" max="39" width="13.6640625" style="2" customWidth="1"/>
    <col min="40" max="40" width="10.83203125" style="2"/>
    <col min="41" max="46" width="13.6640625" style="2" customWidth="1"/>
    <col min="47" max="48" width="10.83203125" style="2"/>
    <col min="49" max="49" width="16.1640625" style="2" bestFit="1" customWidth="1"/>
    <col min="50" max="50" width="17.33203125" style="2" bestFit="1" customWidth="1"/>
    <col min="51" max="16384" width="10.83203125" style="2"/>
  </cols>
  <sheetData>
    <row r="1" spans="1:50" ht="17" thickBot="1" x14ac:dyDescent="0.25">
      <c r="A1" s="33" t="s">
        <v>0</v>
      </c>
      <c r="B1" s="33" t="s">
        <v>1</v>
      </c>
      <c r="C1" s="33" t="s">
        <v>2</v>
      </c>
      <c r="D1" s="33" t="s">
        <v>3</v>
      </c>
      <c r="E1" s="33"/>
      <c r="F1" s="33"/>
      <c r="G1" s="33"/>
      <c r="H1" s="33" t="s">
        <v>4</v>
      </c>
      <c r="I1" s="33"/>
      <c r="J1" s="33"/>
      <c r="K1" s="33"/>
      <c r="L1" s="33" t="s">
        <v>5</v>
      </c>
      <c r="M1" s="33"/>
      <c r="N1" s="33"/>
      <c r="O1" s="33"/>
      <c r="P1" s="33"/>
      <c r="Q1" s="33"/>
      <c r="R1" s="33"/>
      <c r="S1" s="33"/>
      <c r="AA1" s="3">
        <v>1199999.99</v>
      </c>
      <c r="AH1" s="2">
        <v>8299999.9900000002</v>
      </c>
      <c r="AO1" s="2">
        <v>8299999.9900000002</v>
      </c>
    </row>
    <row r="2" spans="1:50" ht="17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 t="s">
        <v>6</v>
      </c>
      <c r="M2" s="33"/>
      <c r="N2" s="33"/>
      <c r="O2" s="33"/>
      <c r="P2" s="33" t="s">
        <v>7</v>
      </c>
      <c r="Q2" s="33"/>
      <c r="R2" s="33"/>
      <c r="S2" s="33"/>
      <c r="T2" s="4" t="s">
        <v>8</v>
      </c>
      <c r="U2" s="4" t="s">
        <v>8</v>
      </c>
      <c r="V2" s="4" t="s">
        <v>8</v>
      </c>
      <c r="W2" s="4" t="s">
        <v>8</v>
      </c>
      <c r="X2" s="4" t="s">
        <v>8</v>
      </c>
      <c r="Y2" s="4" t="s">
        <v>8</v>
      </c>
      <c r="AA2" s="4" t="s">
        <v>9</v>
      </c>
      <c r="AB2" s="4" t="s">
        <v>9</v>
      </c>
      <c r="AC2" s="4" t="s">
        <v>9</v>
      </c>
      <c r="AD2" s="4" t="s">
        <v>9</v>
      </c>
      <c r="AE2" s="4" t="s">
        <v>9</v>
      </c>
      <c r="AF2" s="4" t="s">
        <v>9</v>
      </c>
      <c r="AG2" s="4"/>
      <c r="AH2" s="4" t="s">
        <v>10</v>
      </c>
      <c r="AI2" s="4" t="s">
        <v>10</v>
      </c>
      <c r="AJ2" s="4" t="s">
        <v>10</v>
      </c>
      <c r="AK2" s="4" t="s">
        <v>10</v>
      </c>
      <c r="AL2" s="4" t="s">
        <v>10</v>
      </c>
      <c r="AM2" s="4" t="s">
        <v>10</v>
      </c>
      <c r="AO2" s="4" t="s">
        <v>11</v>
      </c>
      <c r="AP2" s="4" t="s">
        <v>11</v>
      </c>
      <c r="AQ2" s="4" t="s">
        <v>11</v>
      </c>
      <c r="AR2" s="4" t="s">
        <v>11</v>
      </c>
      <c r="AS2" s="4" t="s">
        <v>11</v>
      </c>
      <c r="AT2" s="4" t="s">
        <v>11</v>
      </c>
      <c r="AW2" s="4" t="s">
        <v>12</v>
      </c>
      <c r="AX2" s="4" t="s">
        <v>12</v>
      </c>
    </row>
    <row r="3" spans="1:50" ht="113" thickBot="1" x14ac:dyDescent="0.25">
      <c r="A3" s="34"/>
      <c r="B3" s="35"/>
      <c r="C3" s="35"/>
      <c r="D3" s="6" t="s">
        <v>13</v>
      </c>
      <c r="E3" s="1" t="s">
        <v>14</v>
      </c>
      <c r="F3" s="1" t="s">
        <v>15</v>
      </c>
      <c r="G3" s="1" t="s">
        <v>16</v>
      </c>
      <c r="H3" s="6" t="s">
        <v>13</v>
      </c>
      <c r="I3" s="1" t="s">
        <v>14</v>
      </c>
      <c r="J3" s="1" t="s">
        <v>15</v>
      </c>
      <c r="K3" s="1" t="s">
        <v>16</v>
      </c>
      <c r="L3" s="6" t="s">
        <v>13</v>
      </c>
      <c r="M3" s="1" t="s">
        <v>14</v>
      </c>
      <c r="N3" s="1" t="s">
        <v>15</v>
      </c>
      <c r="O3" s="1" t="s">
        <v>16</v>
      </c>
      <c r="P3" s="6" t="s">
        <v>13</v>
      </c>
      <c r="Q3" s="1" t="s">
        <v>14</v>
      </c>
      <c r="R3" s="1" t="s">
        <v>15</v>
      </c>
      <c r="S3" s="1" t="s">
        <v>16</v>
      </c>
      <c r="T3" s="7" t="s">
        <v>17</v>
      </c>
      <c r="U3" s="8" t="s">
        <v>18</v>
      </c>
      <c r="V3" s="8" t="s">
        <v>19</v>
      </c>
      <c r="W3" s="8" t="s">
        <v>20</v>
      </c>
      <c r="X3" s="8" t="s">
        <v>21</v>
      </c>
      <c r="Y3" s="8" t="s">
        <v>22</v>
      </c>
      <c r="Z3" s="9"/>
      <c r="AA3" s="7" t="str">
        <f t="shared" ref="AA3:AF3" si="0">T3</f>
        <v>зміна кількості фопів</v>
      </c>
      <c r="AB3" s="8" t="str">
        <f t="shared" si="0"/>
        <v>ФОП-ів теоретично</v>
      </c>
      <c r="AC3" s="8" t="str">
        <f t="shared" si="0"/>
        <v>Середня виручка, тис грн</v>
      </c>
      <c r="AD3" s="8" t="str">
        <f t="shared" si="0"/>
        <v>Сумарна виручка в теорії</v>
      </c>
      <c r="AE3" s="8" t="str">
        <f t="shared" si="0"/>
        <v>Виручка на практиці</v>
      </c>
      <c r="AF3" s="8" t="str">
        <f t="shared" si="0"/>
        <v>Аномалія понад нормою</v>
      </c>
      <c r="AG3" s="7"/>
      <c r="AH3" s="10" t="str">
        <f t="shared" ref="AH3:AM3" si="1">AA3</f>
        <v>зміна кількості фопів</v>
      </c>
      <c r="AI3" s="10" t="str">
        <f t="shared" si="1"/>
        <v>ФОП-ів теоретично</v>
      </c>
      <c r="AJ3" s="10" t="str">
        <f t="shared" si="1"/>
        <v>Середня виручка, тис грн</v>
      </c>
      <c r="AK3" s="10" t="str">
        <f t="shared" si="1"/>
        <v>Сумарна виручка в теорії</v>
      </c>
      <c r="AL3" s="10" t="str">
        <f t="shared" si="1"/>
        <v>Виручка на практиці</v>
      </c>
      <c r="AM3" s="10" t="str">
        <f t="shared" si="1"/>
        <v>Аномалія понад нормою</v>
      </c>
      <c r="AN3" s="11"/>
      <c r="AO3" s="10" t="str">
        <f t="shared" ref="AO3:AT3" si="2">AH3</f>
        <v>зміна кількості фопів</v>
      </c>
      <c r="AP3" s="10" t="str">
        <f t="shared" si="2"/>
        <v>ФОП-ів теоретично</v>
      </c>
      <c r="AQ3" s="10" t="str">
        <f t="shared" si="2"/>
        <v>Середня виручка, тис грн</v>
      </c>
      <c r="AR3" s="10" t="str">
        <f t="shared" si="2"/>
        <v>Сумарна виручка в теорії</v>
      </c>
      <c r="AS3" s="10" t="str">
        <f t="shared" si="2"/>
        <v>Виручка на практиці</v>
      </c>
      <c r="AT3" s="10" t="str">
        <f t="shared" si="2"/>
        <v>Аномалія понад нормою</v>
      </c>
      <c r="AW3" s="2" t="s">
        <v>23</v>
      </c>
      <c r="AX3" s="2" t="s">
        <v>24</v>
      </c>
    </row>
    <row r="4" spans="1:50" ht="17" thickBot="1" x14ac:dyDescent="0.25">
      <c r="A4" s="5" t="s">
        <v>25</v>
      </c>
      <c r="B4" s="12" t="s">
        <v>26</v>
      </c>
      <c r="C4" s="12" t="s">
        <v>27</v>
      </c>
      <c r="D4" s="13">
        <v>32</v>
      </c>
      <c r="E4" s="14">
        <v>302.27</v>
      </c>
      <c r="F4" s="14">
        <v>79.183909999999997</v>
      </c>
      <c r="G4" s="14">
        <v>0</v>
      </c>
      <c r="H4" s="13">
        <v>3157</v>
      </c>
      <c r="I4" s="14">
        <v>21100.807209999999</v>
      </c>
      <c r="J4" s="14">
        <v>29114.004499999999</v>
      </c>
      <c r="K4" s="14">
        <v>105.21</v>
      </c>
      <c r="L4" s="13">
        <v>8</v>
      </c>
      <c r="M4" s="14">
        <v>0</v>
      </c>
      <c r="N4" s="14">
        <v>5.2398699999999998</v>
      </c>
      <c r="O4" s="14">
        <v>0</v>
      </c>
      <c r="P4" s="13">
        <v>2677</v>
      </c>
      <c r="Q4" s="14">
        <v>17406.318739999999</v>
      </c>
      <c r="R4" s="14">
        <v>8589.8798299999999</v>
      </c>
      <c r="S4" s="14">
        <v>5.6</v>
      </c>
      <c r="AE4" s="11">
        <f>SUMIFS(E4:E10000,$AX$4:$AX$10000,"&lt;="&amp;AA1)</f>
        <v>0</v>
      </c>
      <c r="AF4" s="11">
        <f>SUMIFS(AF9:AF100000,AF9:AF100000,"&gt;0")</f>
        <v>0</v>
      </c>
      <c r="AG4" s="11" t="s">
        <v>28</v>
      </c>
      <c r="AL4" s="11">
        <f>SUMIFS(M4:M10000,$AX$4:$AX$10000,"&lt;="&amp;AH1)</f>
        <v>0</v>
      </c>
      <c r="AM4" s="11">
        <f>SUMIFS(AM9:AM100000,AM9:AM100000,"&gt;0")</f>
        <v>0</v>
      </c>
      <c r="AN4" s="11" t="s">
        <v>28</v>
      </c>
      <c r="AS4" s="11">
        <f>SUMIFS(Q4:Q10000,$AX$4:$AX$10000,"&lt;="&amp;AO1)</f>
        <v>0</v>
      </c>
      <c r="AT4" s="11">
        <f>SUMIFS(AT9:AT100000,AT9:AT100000,"&gt;0")</f>
        <v>0</v>
      </c>
      <c r="AW4" s="3">
        <f>--MID(C4,FIND("від",C4)+4,FIND("грн",C4,FIND("від",C4))-FIND("від",C4)-4)</f>
        <v>0</v>
      </c>
      <c r="AX4" s="3" t="e">
        <f>--MID(C4,FIND("до",C4)+3,FIND("грн",C4,FIND("до",C4))-FIND("до",C4)-3)</f>
        <v>#VALUE!</v>
      </c>
    </row>
    <row r="5" spans="1:50" ht="17" thickBot="1" x14ac:dyDescent="0.25">
      <c r="A5" s="5" t="s">
        <v>25</v>
      </c>
      <c r="B5" s="12" t="s">
        <v>26</v>
      </c>
      <c r="C5" s="12" t="s">
        <v>29</v>
      </c>
      <c r="D5" s="13">
        <v>14</v>
      </c>
      <c r="E5" s="14">
        <v>1067.251</v>
      </c>
      <c r="F5" s="14">
        <v>46.501049999999999</v>
      </c>
      <c r="G5" s="14">
        <v>0</v>
      </c>
      <c r="H5" s="13">
        <v>726</v>
      </c>
      <c r="I5" s="14">
        <v>54913.363770000004</v>
      </c>
      <c r="J5" s="14">
        <v>7452.85599</v>
      </c>
      <c r="K5" s="14">
        <v>28.77</v>
      </c>
      <c r="L5" s="13">
        <v>3</v>
      </c>
      <c r="M5" s="14">
        <v>204.76608999999999</v>
      </c>
      <c r="N5" s="14">
        <v>89.245490000000004</v>
      </c>
      <c r="O5" s="14">
        <v>0</v>
      </c>
      <c r="P5" s="13">
        <v>419</v>
      </c>
      <c r="Q5" s="14">
        <v>30999.746360000001</v>
      </c>
      <c r="R5" s="14">
        <v>1589.3481200000001</v>
      </c>
      <c r="S5" s="14">
        <v>0.44600000000000001</v>
      </c>
      <c r="AE5" s="11"/>
      <c r="AF5" s="11" t="e">
        <f>AF4/AE4</f>
        <v>#DIV/0!</v>
      </c>
      <c r="AG5" s="11" t="s">
        <v>30</v>
      </c>
      <c r="AL5" s="11"/>
      <c r="AM5" s="11" t="e">
        <f>AM4/AL4</f>
        <v>#DIV/0!</v>
      </c>
      <c r="AN5" s="11" t="s">
        <v>30</v>
      </c>
      <c r="AS5" s="11"/>
      <c r="AT5" s="11" t="e">
        <f>AT4/AS4</f>
        <v>#DIV/0!</v>
      </c>
      <c r="AW5" s="3">
        <f t="shared" ref="AW5:AW68" si="3">--MID(C5,FIND("від",C5)+4,FIND("грн",C5,FIND("від",C5))-FIND("від",C5)-4)</f>
        <v>50000</v>
      </c>
      <c r="AX5" s="3" t="e">
        <f t="shared" ref="AX5:AX68" si="4">--MID(C5,FIND("до",C5)+3,FIND("грн",C5,FIND("до",C5))-FIND("до",C5)-3)</f>
        <v>#VALUE!</v>
      </c>
    </row>
    <row r="6" spans="1:50" ht="17" thickBot="1" x14ac:dyDescent="0.25">
      <c r="A6" s="5" t="s">
        <v>25</v>
      </c>
      <c r="B6" s="12" t="s">
        <v>26</v>
      </c>
      <c r="C6" s="12" t="s">
        <v>31</v>
      </c>
      <c r="D6" s="13">
        <v>17</v>
      </c>
      <c r="E6" s="14">
        <v>2042.0975000000001</v>
      </c>
      <c r="F6" s="14">
        <v>62.488759999999999</v>
      </c>
      <c r="G6" s="14">
        <v>0</v>
      </c>
      <c r="H6" s="13">
        <v>608</v>
      </c>
      <c r="I6" s="14">
        <v>75389.823610000007</v>
      </c>
      <c r="J6" s="14">
        <v>6655.2211200000002</v>
      </c>
      <c r="K6" s="14">
        <v>45.4</v>
      </c>
      <c r="L6" s="13">
        <v>1</v>
      </c>
      <c r="M6" s="14">
        <v>101.26251999999999</v>
      </c>
      <c r="N6" s="14">
        <v>0.71499999999999997</v>
      </c>
      <c r="O6" s="14">
        <v>0</v>
      </c>
      <c r="P6" s="13">
        <v>327</v>
      </c>
      <c r="Q6" s="14">
        <v>40327.137419999999</v>
      </c>
      <c r="R6" s="14">
        <v>2593.16813</v>
      </c>
      <c r="S6" s="14">
        <v>0</v>
      </c>
      <c r="AW6" s="3">
        <f t="shared" si="3"/>
        <v>100000</v>
      </c>
      <c r="AX6" s="3" t="e">
        <f t="shared" si="4"/>
        <v>#VALUE!</v>
      </c>
    </row>
    <row r="7" spans="1:50" ht="17" thickBot="1" x14ac:dyDescent="0.25">
      <c r="A7" s="5" t="s">
        <v>25</v>
      </c>
      <c r="B7" s="12" t="s">
        <v>26</v>
      </c>
      <c r="C7" s="12" t="s">
        <v>32</v>
      </c>
      <c r="D7" s="13">
        <v>6</v>
      </c>
      <c r="E7" s="14">
        <v>983.89099999999996</v>
      </c>
      <c r="F7" s="14">
        <v>21.369299999999999</v>
      </c>
      <c r="G7" s="14">
        <v>0</v>
      </c>
      <c r="H7" s="13">
        <v>556</v>
      </c>
      <c r="I7" s="14">
        <v>97085.86305</v>
      </c>
      <c r="J7" s="14">
        <v>6081.0272199999999</v>
      </c>
      <c r="K7" s="14">
        <v>29.39</v>
      </c>
      <c r="L7" s="13">
        <v>1</v>
      </c>
      <c r="M7" s="14">
        <v>171.02500000000001</v>
      </c>
      <c r="N7" s="14">
        <v>13.33989</v>
      </c>
      <c r="O7" s="14">
        <v>0</v>
      </c>
      <c r="P7" s="13">
        <v>256</v>
      </c>
      <c r="Q7" s="14">
        <v>44386.64</v>
      </c>
      <c r="R7" s="14">
        <v>2327.5755899999999</v>
      </c>
      <c r="S7" s="14">
        <v>0</v>
      </c>
      <c r="AW7" s="3">
        <f t="shared" si="3"/>
        <v>150000</v>
      </c>
      <c r="AX7" s="3" t="e">
        <f t="shared" si="4"/>
        <v>#VALUE!</v>
      </c>
    </row>
    <row r="8" spans="1:50" ht="17" thickBot="1" x14ac:dyDescent="0.25">
      <c r="A8" s="5" t="s">
        <v>25</v>
      </c>
      <c r="B8" s="12" t="s">
        <v>26</v>
      </c>
      <c r="C8" s="12" t="s">
        <v>33</v>
      </c>
      <c r="D8" s="13">
        <v>5</v>
      </c>
      <c r="E8" s="14">
        <v>1144.8</v>
      </c>
      <c r="F8" s="14">
        <v>14.294930000000001</v>
      </c>
      <c r="G8" s="14">
        <v>0</v>
      </c>
      <c r="H8" s="13">
        <v>594</v>
      </c>
      <c r="I8" s="14">
        <v>133246.37854000001</v>
      </c>
      <c r="J8" s="14">
        <v>7199.23963</v>
      </c>
      <c r="K8" s="14">
        <v>35.25</v>
      </c>
      <c r="L8" s="13">
        <v>1</v>
      </c>
      <c r="M8" s="14">
        <v>216.51232999999999</v>
      </c>
      <c r="N8" s="14">
        <v>8.3341600000000007</v>
      </c>
      <c r="O8" s="14">
        <v>0</v>
      </c>
      <c r="P8" s="13">
        <v>210</v>
      </c>
      <c r="Q8" s="14">
        <v>47049.983229999998</v>
      </c>
      <c r="R8" s="14">
        <v>2251.4620599999998</v>
      </c>
      <c r="S8" s="14">
        <v>0</v>
      </c>
      <c r="AA8" s="15"/>
      <c r="AW8" s="3">
        <f t="shared" si="3"/>
        <v>200000</v>
      </c>
      <c r="AX8" s="3" t="e">
        <f t="shared" si="4"/>
        <v>#VALUE!</v>
      </c>
    </row>
    <row r="9" spans="1:50" ht="17" thickBot="1" x14ac:dyDescent="0.25">
      <c r="A9" s="5" t="s">
        <v>25</v>
      </c>
      <c r="B9" s="12" t="s">
        <v>26</v>
      </c>
      <c r="C9" s="12" t="s">
        <v>34</v>
      </c>
      <c r="D9" s="13">
        <v>7</v>
      </c>
      <c r="E9" s="14">
        <v>1840.0530000000001</v>
      </c>
      <c r="F9" s="14">
        <v>25.18017</v>
      </c>
      <c r="G9" s="14">
        <v>0</v>
      </c>
      <c r="H9" s="13">
        <v>571</v>
      </c>
      <c r="I9" s="14">
        <v>156493.92224000001</v>
      </c>
      <c r="J9" s="14">
        <v>6799.1831400000001</v>
      </c>
      <c r="K9" s="14">
        <v>33.92</v>
      </c>
      <c r="L9" s="13" t="s">
        <v>35</v>
      </c>
      <c r="M9" s="14" t="s">
        <v>35</v>
      </c>
      <c r="N9" s="14" t="s">
        <v>35</v>
      </c>
      <c r="O9" s="14" t="s">
        <v>35</v>
      </c>
      <c r="P9" s="13">
        <v>189</v>
      </c>
      <c r="Q9" s="14">
        <v>51603.544190000001</v>
      </c>
      <c r="R9" s="14">
        <v>2352.5769799999998</v>
      </c>
      <c r="S9" s="14">
        <v>0</v>
      </c>
      <c r="T9" s="15">
        <f>AVERAGE(H5:H9)-AVERAGE(H10:H14)</f>
        <v>151.60000000000002</v>
      </c>
      <c r="AA9" s="15">
        <f>IFERROR(AVERAGE(D5:D9)-AVERAGE(D10:D14),"-")</f>
        <v>7.0000000000000009</v>
      </c>
      <c r="AH9" s="15">
        <f>IFERROR(AVERAGE(L5:L9)-AVERAGE(L10:L14),"-")</f>
        <v>-0.5</v>
      </c>
      <c r="AO9" s="15">
        <f>AVERAGE(P5:P9)-AVERAGE(P10:P14)</f>
        <v>150.79999999999998</v>
      </c>
      <c r="AW9" s="3">
        <f t="shared" si="3"/>
        <v>250000</v>
      </c>
      <c r="AX9" s="3" t="e">
        <f t="shared" si="4"/>
        <v>#VALUE!</v>
      </c>
    </row>
    <row r="10" spans="1:50" ht="17" thickBot="1" x14ac:dyDescent="0.25">
      <c r="A10" s="5" t="s">
        <v>25</v>
      </c>
      <c r="B10" s="12" t="s">
        <v>26</v>
      </c>
      <c r="C10" s="12" t="s">
        <v>36</v>
      </c>
      <c r="D10" s="13">
        <v>3</v>
      </c>
      <c r="E10" s="14">
        <v>913.65</v>
      </c>
      <c r="F10" s="14">
        <v>9.4732000000000003</v>
      </c>
      <c r="G10" s="14">
        <v>0</v>
      </c>
      <c r="H10" s="13">
        <v>470</v>
      </c>
      <c r="I10" s="14">
        <v>151714.71517000001</v>
      </c>
      <c r="J10" s="14">
        <v>5624.50119</v>
      </c>
      <c r="K10" s="14">
        <v>20.161000000000001</v>
      </c>
      <c r="L10" s="13">
        <v>3</v>
      </c>
      <c r="M10" s="14">
        <v>1026.9204999999999</v>
      </c>
      <c r="N10" s="14">
        <v>48.431100000000001</v>
      </c>
      <c r="O10" s="14">
        <v>0</v>
      </c>
      <c r="P10" s="13">
        <v>143</v>
      </c>
      <c r="Q10" s="14">
        <v>46343.980949999997</v>
      </c>
      <c r="R10" s="14">
        <v>2305.0996500000001</v>
      </c>
      <c r="S10" s="14">
        <v>0</v>
      </c>
      <c r="T10" s="15">
        <f t="shared" ref="T10:T73" si="5">AVERAGE(H6:H10)-AVERAGE(H11:H15)</f>
        <v>106.19999999999993</v>
      </c>
      <c r="AA10" s="15">
        <f t="shared" ref="AA10:AA73" si="6">IFERROR(AVERAGE(D6:D10)-AVERAGE(D11:D15),"-")</f>
        <v>5</v>
      </c>
      <c r="AH10" s="15">
        <f t="shared" ref="AH10:AH73" si="7">IFERROR(AVERAGE(L6:L10)-AVERAGE(L11:L15),"-")</f>
        <v>0.5</v>
      </c>
      <c r="AO10" s="15">
        <f t="shared" ref="AO10:AO73" si="8">AVERAGE(P6:P10)-AVERAGE(P11:P15)</f>
        <v>100</v>
      </c>
      <c r="AW10" s="3">
        <f t="shared" si="3"/>
        <v>300000</v>
      </c>
      <c r="AX10" s="3" t="e">
        <f t="shared" si="4"/>
        <v>#VALUE!</v>
      </c>
    </row>
    <row r="11" spans="1:50" ht="17" thickBot="1" x14ac:dyDescent="0.25">
      <c r="A11" s="5" t="s">
        <v>25</v>
      </c>
      <c r="B11" s="12" t="s">
        <v>26</v>
      </c>
      <c r="C11" s="12" t="s">
        <v>37</v>
      </c>
      <c r="D11" s="13">
        <v>3</v>
      </c>
      <c r="E11" s="14">
        <v>1133.7950000000001</v>
      </c>
      <c r="F11" s="14">
        <v>6.6233000000000004</v>
      </c>
      <c r="G11" s="14">
        <v>0</v>
      </c>
      <c r="H11" s="13">
        <v>508</v>
      </c>
      <c r="I11" s="14">
        <v>189711.28591000001</v>
      </c>
      <c r="J11" s="14">
        <v>6293.1310000000003</v>
      </c>
      <c r="K11" s="14">
        <v>28.66</v>
      </c>
      <c r="L11" s="13" t="s">
        <v>35</v>
      </c>
      <c r="M11" s="14" t="s">
        <v>35</v>
      </c>
      <c r="N11" s="14" t="s">
        <v>35</v>
      </c>
      <c r="O11" s="14" t="s">
        <v>35</v>
      </c>
      <c r="P11" s="13">
        <v>141</v>
      </c>
      <c r="Q11" s="14">
        <v>52805.887759999998</v>
      </c>
      <c r="R11" s="14">
        <v>2216.3820599999999</v>
      </c>
      <c r="S11" s="14">
        <v>0.28499999999999998</v>
      </c>
      <c r="T11" s="15">
        <f t="shared" si="5"/>
        <v>104.39999999999998</v>
      </c>
      <c r="AA11" s="15">
        <f t="shared" si="6"/>
        <v>2</v>
      </c>
      <c r="AH11" s="15">
        <f t="shared" si="7"/>
        <v>0.66666666666666674</v>
      </c>
      <c r="AO11" s="15">
        <f t="shared" si="8"/>
        <v>72.800000000000011</v>
      </c>
      <c r="AW11" s="3">
        <f t="shared" si="3"/>
        <v>350000</v>
      </c>
      <c r="AX11" s="3" t="e">
        <f t="shared" si="4"/>
        <v>#VALUE!</v>
      </c>
    </row>
    <row r="12" spans="1:50" ht="17" thickBot="1" x14ac:dyDescent="0.25">
      <c r="A12" s="5" t="s">
        <v>25</v>
      </c>
      <c r="B12" s="12" t="s">
        <v>26</v>
      </c>
      <c r="C12" s="12" t="s">
        <v>38</v>
      </c>
      <c r="D12" s="13">
        <v>3</v>
      </c>
      <c r="E12" s="14">
        <v>1269</v>
      </c>
      <c r="F12" s="14">
        <v>10.813000000000001</v>
      </c>
      <c r="G12" s="14">
        <v>0</v>
      </c>
      <c r="H12" s="13">
        <v>442</v>
      </c>
      <c r="I12" s="14">
        <v>187254.02781</v>
      </c>
      <c r="J12" s="14">
        <v>5415.0620799999997</v>
      </c>
      <c r="K12" s="14">
        <v>34.46</v>
      </c>
      <c r="L12" s="13">
        <v>1</v>
      </c>
      <c r="M12" s="14">
        <v>413.697</v>
      </c>
      <c r="N12" s="14">
        <v>16.247</v>
      </c>
      <c r="O12" s="14">
        <v>0</v>
      </c>
      <c r="P12" s="13">
        <v>140</v>
      </c>
      <c r="Q12" s="14">
        <v>59377.876259999997</v>
      </c>
      <c r="R12" s="14">
        <v>2812.2327799999998</v>
      </c>
      <c r="S12" s="14">
        <v>3.5110000000000001</v>
      </c>
      <c r="T12" s="15">
        <f t="shared" si="5"/>
        <v>98.800000000000011</v>
      </c>
      <c r="AA12" s="15">
        <f t="shared" si="6"/>
        <v>1.6</v>
      </c>
      <c r="AH12" s="15" t="str">
        <f t="shared" si="7"/>
        <v>-</v>
      </c>
      <c r="AO12" s="15">
        <f t="shared" si="8"/>
        <v>58.199999999999989</v>
      </c>
      <c r="AW12" s="3">
        <f t="shared" si="3"/>
        <v>400000</v>
      </c>
      <c r="AX12" s="3" t="e">
        <f t="shared" si="4"/>
        <v>#VALUE!</v>
      </c>
    </row>
    <row r="13" spans="1:50" ht="17" thickBot="1" x14ac:dyDescent="0.25">
      <c r="A13" s="5" t="s">
        <v>25</v>
      </c>
      <c r="B13" s="12" t="s">
        <v>26</v>
      </c>
      <c r="C13" s="12" t="s">
        <v>39</v>
      </c>
      <c r="D13" s="13">
        <v>1</v>
      </c>
      <c r="E13" s="14">
        <v>495</v>
      </c>
      <c r="F13" s="14">
        <v>3.0569999999999999</v>
      </c>
      <c r="G13" s="14">
        <v>0</v>
      </c>
      <c r="H13" s="13">
        <v>432</v>
      </c>
      <c r="I13" s="14">
        <v>204846.34995999999</v>
      </c>
      <c r="J13" s="14">
        <v>5398.2583199999999</v>
      </c>
      <c r="K13" s="14">
        <v>24.574950000000001</v>
      </c>
      <c r="L13" s="13" t="s">
        <v>35</v>
      </c>
      <c r="M13" s="14" t="s">
        <v>35</v>
      </c>
      <c r="N13" s="14" t="s">
        <v>35</v>
      </c>
      <c r="O13" s="14" t="s">
        <v>35</v>
      </c>
      <c r="P13" s="13">
        <v>123</v>
      </c>
      <c r="Q13" s="14">
        <v>58365.385779999997</v>
      </c>
      <c r="R13" s="14">
        <v>2874.66923</v>
      </c>
      <c r="S13" s="14">
        <v>2.13</v>
      </c>
      <c r="T13" s="15">
        <f t="shared" si="5"/>
        <v>76.800000000000011</v>
      </c>
      <c r="AA13" s="15">
        <f t="shared" si="6"/>
        <v>0.39999999999999991</v>
      </c>
      <c r="AH13" s="15" t="str">
        <f t="shared" si="7"/>
        <v>-</v>
      </c>
      <c r="AO13" s="15">
        <f t="shared" si="8"/>
        <v>46.399999999999991</v>
      </c>
      <c r="AW13" s="3">
        <f t="shared" si="3"/>
        <v>450000</v>
      </c>
      <c r="AX13" s="3" t="e">
        <f t="shared" si="4"/>
        <v>#VALUE!</v>
      </c>
    </row>
    <row r="14" spans="1:50" ht="17" thickBot="1" x14ac:dyDescent="0.25">
      <c r="A14" s="5" t="s">
        <v>25</v>
      </c>
      <c r="B14" s="12" t="s">
        <v>26</v>
      </c>
      <c r="C14" s="12" t="s">
        <v>40</v>
      </c>
      <c r="D14" s="13">
        <v>4</v>
      </c>
      <c r="E14" s="14">
        <v>2114.4319999999998</v>
      </c>
      <c r="F14" s="14">
        <v>13.10244</v>
      </c>
      <c r="G14" s="14">
        <v>0</v>
      </c>
      <c r="H14" s="13">
        <v>445</v>
      </c>
      <c r="I14" s="14">
        <v>233096.71067</v>
      </c>
      <c r="J14" s="14">
        <v>5690.2368500000002</v>
      </c>
      <c r="K14" s="14">
        <v>23.145</v>
      </c>
      <c r="L14" s="13" t="s">
        <v>35</v>
      </c>
      <c r="M14" s="14" t="s">
        <v>35</v>
      </c>
      <c r="N14" s="14" t="s">
        <v>35</v>
      </c>
      <c r="O14" s="14" t="s">
        <v>35</v>
      </c>
      <c r="P14" s="13">
        <v>100</v>
      </c>
      <c r="Q14" s="14">
        <v>52153.98749</v>
      </c>
      <c r="R14" s="14">
        <v>2379.21479</v>
      </c>
      <c r="S14" s="14">
        <v>0</v>
      </c>
      <c r="T14" s="15">
        <f t="shared" si="5"/>
        <v>74.199999999999989</v>
      </c>
      <c r="AA14" s="15">
        <f t="shared" si="6"/>
        <v>0</v>
      </c>
      <c r="AH14" s="15">
        <f t="shared" si="7"/>
        <v>1</v>
      </c>
      <c r="AO14" s="15">
        <f t="shared" si="8"/>
        <v>33.400000000000006</v>
      </c>
      <c r="AW14" s="3">
        <f t="shared" si="3"/>
        <v>500000</v>
      </c>
      <c r="AX14" s="3" t="e">
        <f t="shared" si="4"/>
        <v>#VALUE!</v>
      </c>
    </row>
    <row r="15" spans="1:50" ht="17" thickBot="1" x14ac:dyDescent="0.25">
      <c r="A15" s="5" t="s">
        <v>25</v>
      </c>
      <c r="B15" s="12" t="s">
        <v>26</v>
      </c>
      <c r="C15" s="12" t="s">
        <v>41</v>
      </c>
      <c r="D15" s="13">
        <v>2</v>
      </c>
      <c r="E15" s="14">
        <v>1115.28</v>
      </c>
      <c r="F15" s="14">
        <v>6.2336</v>
      </c>
      <c r="G15" s="14">
        <v>0</v>
      </c>
      <c r="H15" s="13">
        <v>441</v>
      </c>
      <c r="I15" s="14">
        <v>253625.06109</v>
      </c>
      <c r="J15" s="14">
        <v>5733.3164399999996</v>
      </c>
      <c r="K15" s="14">
        <v>38.1</v>
      </c>
      <c r="L15" s="13" t="s">
        <v>35</v>
      </c>
      <c r="M15" s="14" t="s">
        <v>35</v>
      </c>
      <c r="N15" s="14" t="s">
        <v>35</v>
      </c>
      <c r="O15" s="14" t="s">
        <v>35</v>
      </c>
      <c r="P15" s="13">
        <v>121</v>
      </c>
      <c r="Q15" s="14">
        <v>69362.328699999998</v>
      </c>
      <c r="R15" s="14">
        <v>2921.0119500000001</v>
      </c>
      <c r="S15" s="14">
        <v>0</v>
      </c>
      <c r="T15" s="15">
        <f t="shared" si="5"/>
        <v>84</v>
      </c>
      <c r="AA15" s="15">
        <f t="shared" si="6"/>
        <v>-0.19999999999999973</v>
      </c>
      <c r="AB15" s="15"/>
      <c r="AC15" s="3"/>
      <c r="AD15" s="15"/>
      <c r="AE15" s="3"/>
      <c r="AF15" s="3"/>
      <c r="AG15" s="16"/>
      <c r="AH15" s="15">
        <f t="shared" si="7"/>
        <v>0</v>
      </c>
      <c r="AO15" s="15">
        <f t="shared" si="8"/>
        <v>40.400000000000006</v>
      </c>
      <c r="AW15" s="3">
        <f t="shared" si="3"/>
        <v>550000</v>
      </c>
      <c r="AX15" s="3" t="e">
        <f t="shared" si="4"/>
        <v>#VALUE!</v>
      </c>
    </row>
    <row r="16" spans="1:50" ht="17" thickBot="1" x14ac:dyDescent="0.25">
      <c r="A16" s="5" t="s">
        <v>25</v>
      </c>
      <c r="B16" s="12" t="s">
        <v>26</v>
      </c>
      <c r="C16" s="12" t="s">
        <v>42</v>
      </c>
      <c r="D16" s="13">
        <v>4</v>
      </c>
      <c r="E16" s="14">
        <v>2463.223</v>
      </c>
      <c r="F16" s="14">
        <v>13.0222</v>
      </c>
      <c r="G16" s="14">
        <v>0</v>
      </c>
      <c r="H16" s="13">
        <v>417</v>
      </c>
      <c r="I16" s="14">
        <v>260911.46262000001</v>
      </c>
      <c r="J16" s="14">
        <v>5511.5738499999998</v>
      </c>
      <c r="K16" s="14">
        <v>28.15</v>
      </c>
      <c r="L16" s="13" t="s">
        <v>35</v>
      </c>
      <c r="M16" s="14" t="s">
        <v>35</v>
      </c>
      <c r="N16" s="14" t="s">
        <v>35</v>
      </c>
      <c r="O16" s="14" t="s">
        <v>35</v>
      </c>
      <c r="P16" s="13">
        <v>91</v>
      </c>
      <c r="Q16" s="14">
        <v>56805.474950000003</v>
      </c>
      <c r="R16" s="14">
        <v>3029.3927399999998</v>
      </c>
      <c r="S16" s="14">
        <v>0.8</v>
      </c>
      <c r="T16" s="15">
        <f t="shared" si="5"/>
        <v>77.199999999999989</v>
      </c>
      <c r="AA16" s="15">
        <f t="shared" si="6"/>
        <v>-0.20000000000000018</v>
      </c>
      <c r="AB16" s="15"/>
      <c r="AC16" s="3"/>
      <c r="AD16" s="15"/>
      <c r="AE16" s="3"/>
      <c r="AF16" s="3"/>
      <c r="AG16" s="16"/>
      <c r="AH16" s="15">
        <f t="shared" si="7"/>
        <v>0</v>
      </c>
      <c r="AO16" s="15">
        <f t="shared" si="8"/>
        <v>33.799999999999997</v>
      </c>
      <c r="AW16" s="3">
        <f t="shared" si="3"/>
        <v>600000</v>
      </c>
      <c r="AX16" s="3" t="e">
        <f t="shared" si="4"/>
        <v>#VALUE!</v>
      </c>
    </row>
    <row r="17" spans="1:50" ht="17" thickBot="1" x14ac:dyDescent="0.25">
      <c r="A17" s="5" t="s">
        <v>25</v>
      </c>
      <c r="B17" s="12" t="s">
        <v>26</v>
      </c>
      <c r="C17" s="12" t="s">
        <v>43</v>
      </c>
      <c r="D17" s="13">
        <v>2</v>
      </c>
      <c r="E17" s="14">
        <v>1348.42</v>
      </c>
      <c r="F17" s="14">
        <v>10.612399999999999</v>
      </c>
      <c r="G17" s="14">
        <v>0</v>
      </c>
      <c r="H17" s="13">
        <v>356</v>
      </c>
      <c r="I17" s="14">
        <v>240164.78753999999</v>
      </c>
      <c r="J17" s="14">
        <v>4334.4036800000003</v>
      </c>
      <c r="K17" s="14">
        <v>20.6</v>
      </c>
      <c r="L17" s="13" t="s">
        <v>35</v>
      </c>
      <c r="M17" s="14" t="s">
        <v>35</v>
      </c>
      <c r="N17" s="14" t="s">
        <v>35</v>
      </c>
      <c r="O17" s="14" t="s">
        <v>35</v>
      </c>
      <c r="P17" s="13">
        <v>97</v>
      </c>
      <c r="Q17" s="14">
        <v>65532.087350000002</v>
      </c>
      <c r="R17" s="14">
        <v>3098.16788</v>
      </c>
      <c r="S17" s="14">
        <v>0</v>
      </c>
      <c r="T17" s="15">
        <f t="shared" si="5"/>
        <v>50.800000000000011</v>
      </c>
      <c r="AA17" s="15">
        <f t="shared" si="6"/>
        <v>-1.4</v>
      </c>
      <c r="AB17" s="15">
        <f t="shared" ref="AB17" si="9">AVERAGE(D13:D17)</f>
        <v>2.6</v>
      </c>
      <c r="AC17" s="3" t="e">
        <f t="shared" ref="AC17:AC18" si="10">AVERAGE(AW17:AX17)/1000</f>
        <v>#VALUE!</v>
      </c>
      <c r="AD17" s="15" t="e">
        <f t="shared" ref="AD17:AD22" si="11">IF(AA17&lt;-0.4,AB17*AC17,0)</f>
        <v>#VALUE!</v>
      </c>
      <c r="AE17" s="3" t="e">
        <f t="shared" ref="AE17:AE22" si="12">IF(AD17=0,0,E17)</f>
        <v>#VALUE!</v>
      </c>
      <c r="AF17" s="3">
        <f t="shared" ref="AF17:AF22" si="13">IFERROR(AE17-AD17,0)</f>
        <v>0</v>
      </c>
      <c r="AG17" s="16"/>
      <c r="AH17" s="15" t="str">
        <f t="shared" si="7"/>
        <v>-</v>
      </c>
      <c r="AO17" s="15">
        <f t="shared" si="8"/>
        <v>29.600000000000009</v>
      </c>
      <c r="AW17" s="3">
        <f t="shared" si="3"/>
        <v>650000</v>
      </c>
      <c r="AX17" s="3" t="e">
        <f t="shared" si="4"/>
        <v>#VALUE!</v>
      </c>
    </row>
    <row r="18" spans="1:50" ht="17" thickBot="1" x14ac:dyDescent="0.25">
      <c r="A18" s="5" t="s">
        <v>25</v>
      </c>
      <c r="B18" s="12" t="s">
        <v>26</v>
      </c>
      <c r="C18" s="12" t="s">
        <v>44</v>
      </c>
      <c r="D18" s="13">
        <v>3</v>
      </c>
      <c r="E18" s="14">
        <v>2156.6999999999998</v>
      </c>
      <c r="F18" s="14">
        <v>11.685</v>
      </c>
      <c r="G18" s="14">
        <v>0</v>
      </c>
      <c r="H18" s="13">
        <v>380</v>
      </c>
      <c r="I18" s="14">
        <v>275873.80867</v>
      </c>
      <c r="J18" s="14">
        <v>5036.6654399999998</v>
      </c>
      <c r="K18" s="14">
        <v>25.965540000000001</v>
      </c>
      <c r="L18" s="13" t="s">
        <v>35</v>
      </c>
      <c r="M18" s="14" t="s">
        <v>35</v>
      </c>
      <c r="N18" s="14" t="s">
        <v>35</v>
      </c>
      <c r="O18" s="14" t="s">
        <v>35</v>
      </c>
      <c r="P18" s="13">
        <v>95</v>
      </c>
      <c r="Q18" s="14">
        <v>68803.909769999998</v>
      </c>
      <c r="R18" s="14">
        <v>2930.1632500000001</v>
      </c>
      <c r="S18" s="14">
        <v>0</v>
      </c>
      <c r="T18" s="15">
        <f t="shared" si="5"/>
        <v>42.800000000000011</v>
      </c>
      <c r="AA18" s="15">
        <f t="shared" si="6"/>
        <v>-2</v>
      </c>
      <c r="AB18" s="15">
        <f t="shared" ref="AB18:AB22" si="14">AB17</f>
        <v>2.6</v>
      </c>
      <c r="AC18" s="3" t="e">
        <f t="shared" si="10"/>
        <v>#VALUE!</v>
      </c>
      <c r="AD18" s="15" t="e">
        <f t="shared" si="11"/>
        <v>#VALUE!</v>
      </c>
      <c r="AE18" s="3" t="e">
        <f t="shared" si="12"/>
        <v>#VALUE!</v>
      </c>
      <c r="AF18" s="3">
        <f t="shared" si="13"/>
        <v>0</v>
      </c>
      <c r="AG18" s="16" t="e">
        <f t="shared" ref="AG18" si="15">AC18-AC17</f>
        <v>#VALUE!</v>
      </c>
      <c r="AH18" s="15" t="str">
        <f t="shared" si="7"/>
        <v>-</v>
      </c>
      <c r="AO18" s="15">
        <f t="shared" si="8"/>
        <v>31.799999999999997</v>
      </c>
      <c r="AW18" s="3">
        <f t="shared" si="3"/>
        <v>700000</v>
      </c>
      <c r="AX18" s="3" t="e">
        <f t="shared" si="4"/>
        <v>#VALUE!</v>
      </c>
    </row>
    <row r="19" spans="1:50" ht="17" thickBot="1" x14ac:dyDescent="0.25">
      <c r="A19" s="5" t="s">
        <v>25</v>
      </c>
      <c r="B19" s="12" t="s">
        <v>26</v>
      </c>
      <c r="C19" s="12" t="s">
        <v>45</v>
      </c>
      <c r="D19" s="13">
        <v>3</v>
      </c>
      <c r="E19" s="14">
        <v>2320.7453500000001</v>
      </c>
      <c r="F19" s="14">
        <v>10.540800000000001</v>
      </c>
      <c r="G19" s="14">
        <v>0</v>
      </c>
      <c r="H19" s="13">
        <v>332</v>
      </c>
      <c r="I19" s="14">
        <v>257258.57920000001</v>
      </c>
      <c r="J19" s="14">
        <v>4504.2700699999996</v>
      </c>
      <c r="K19" s="14">
        <v>22.82</v>
      </c>
      <c r="L19" s="13">
        <v>1</v>
      </c>
      <c r="M19" s="14">
        <v>799.71442000000002</v>
      </c>
      <c r="N19" s="14">
        <v>27.41</v>
      </c>
      <c r="O19" s="14">
        <v>0</v>
      </c>
      <c r="P19" s="13">
        <v>76</v>
      </c>
      <c r="Q19" s="14">
        <v>58828.333630000001</v>
      </c>
      <c r="R19" s="14">
        <v>2773.6021599999999</v>
      </c>
      <c r="S19" s="14">
        <v>0</v>
      </c>
      <c r="T19" s="15">
        <f t="shared" si="5"/>
        <v>17.599999999999966</v>
      </c>
      <c r="AA19" s="15">
        <f t="shared" si="6"/>
        <v>-2.7</v>
      </c>
      <c r="AB19" s="15">
        <f t="shared" si="14"/>
        <v>2.6</v>
      </c>
      <c r="AC19" s="3" t="e">
        <f>AVERAGE(AW19:AX19)/1000</f>
        <v>#VALUE!</v>
      </c>
      <c r="AD19" s="15" t="e">
        <f t="shared" si="11"/>
        <v>#VALUE!</v>
      </c>
      <c r="AE19" s="3" t="e">
        <f t="shared" si="12"/>
        <v>#VALUE!</v>
      </c>
      <c r="AF19" s="3">
        <f t="shared" si="13"/>
        <v>0</v>
      </c>
      <c r="AG19" s="16" t="e">
        <f>AC19-AC18</f>
        <v>#VALUE!</v>
      </c>
      <c r="AH19" s="15" t="str">
        <f t="shared" si="7"/>
        <v>-</v>
      </c>
      <c r="AO19" s="15">
        <f t="shared" si="8"/>
        <v>26</v>
      </c>
      <c r="AW19" s="3">
        <f t="shared" si="3"/>
        <v>750000</v>
      </c>
      <c r="AX19" s="3" t="e">
        <f t="shared" si="4"/>
        <v>#VALUE!</v>
      </c>
    </row>
    <row r="20" spans="1:50" ht="17" thickBot="1" x14ac:dyDescent="0.25">
      <c r="A20" s="5" t="s">
        <v>25</v>
      </c>
      <c r="B20" s="12" t="s">
        <v>26</v>
      </c>
      <c r="C20" s="12" t="s">
        <v>46</v>
      </c>
      <c r="D20" s="13">
        <v>2</v>
      </c>
      <c r="E20" s="14">
        <v>1606.2449999999999</v>
      </c>
      <c r="F20" s="14">
        <v>6.9668000000000001</v>
      </c>
      <c r="G20" s="14">
        <v>0.8</v>
      </c>
      <c r="H20" s="13">
        <v>363</v>
      </c>
      <c r="I20" s="14">
        <v>298818.58272000001</v>
      </c>
      <c r="J20" s="14">
        <v>4746.0294199999998</v>
      </c>
      <c r="K20" s="14">
        <v>34.870600000000003</v>
      </c>
      <c r="L20" s="13" t="s">
        <v>35</v>
      </c>
      <c r="M20" s="14" t="s">
        <v>35</v>
      </c>
      <c r="N20" s="14" t="s">
        <v>35</v>
      </c>
      <c r="O20" s="14" t="s">
        <v>35</v>
      </c>
      <c r="P20" s="13">
        <v>64</v>
      </c>
      <c r="Q20" s="14">
        <v>53021.1423</v>
      </c>
      <c r="R20" s="14">
        <v>2352.8118399999998</v>
      </c>
      <c r="S20" s="14">
        <v>0.71</v>
      </c>
      <c r="T20" s="15">
        <f t="shared" si="5"/>
        <v>12</v>
      </c>
      <c r="AA20" s="15">
        <f t="shared" si="6"/>
        <v>-2.95</v>
      </c>
      <c r="AB20" s="15">
        <f t="shared" si="14"/>
        <v>2.6</v>
      </c>
      <c r="AC20" s="3" t="e">
        <f t="shared" ref="AC20:AC22" si="16">AVERAGE(AW20:AX20)/1000</f>
        <v>#VALUE!</v>
      </c>
      <c r="AD20" s="15" t="e">
        <f t="shared" si="11"/>
        <v>#VALUE!</v>
      </c>
      <c r="AE20" s="3" t="e">
        <f t="shared" si="12"/>
        <v>#VALUE!</v>
      </c>
      <c r="AF20" s="3">
        <f t="shared" si="13"/>
        <v>0</v>
      </c>
      <c r="AG20" s="16" t="e">
        <f t="shared" ref="AG20:AG22" si="17">AC20-AC19</f>
        <v>#VALUE!</v>
      </c>
      <c r="AH20" s="15" t="str">
        <f t="shared" si="7"/>
        <v>-</v>
      </c>
      <c r="AO20" s="15">
        <f t="shared" si="8"/>
        <v>14.599999999999994</v>
      </c>
      <c r="AW20" s="3">
        <f t="shared" si="3"/>
        <v>800000</v>
      </c>
      <c r="AX20" s="3" t="e">
        <f t="shared" si="4"/>
        <v>#VALUE!</v>
      </c>
    </row>
    <row r="21" spans="1:50" ht="17" thickBot="1" x14ac:dyDescent="0.25">
      <c r="A21" s="5" t="s">
        <v>25</v>
      </c>
      <c r="B21" s="12" t="s">
        <v>26</v>
      </c>
      <c r="C21" s="12" t="s">
        <v>47</v>
      </c>
      <c r="D21" s="13">
        <v>5</v>
      </c>
      <c r="E21" s="14">
        <v>4348.34</v>
      </c>
      <c r="F21" s="14">
        <v>11.809200000000001</v>
      </c>
      <c r="G21" s="14">
        <v>0</v>
      </c>
      <c r="H21" s="13">
        <v>360</v>
      </c>
      <c r="I21" s="14">
        <v>314693.01997000002</v>
      </c>
      <c r="J21" s="14">
        <v>4659.3997300000001</v>
      </c>
      <c r="K21" s="14">
        <v>22.91</v>
      </c>
      <c r="L21" s="13" t="s">
        <v>35</v>
      </c>
      <c r="M21" s="14" t="s">
        <v>35</v>
      </c>
      <c r="N21" s="14" t="s">
        <v>35</v>
      </c>
      <c r="O21" s="14" t="s">
        <v>35</v>
      </c>
      <c r="P21" s="13">
        <v>74</v>
      </c>
      <c r="Q21" s="14">
        <v>64675.536090000001</v>
      </c>
      <c r="R21" s="14">
        <v>2912.8015</v>
      </c>
      <c r="S21" s="14">
        <v>0</v>
      </c>
      <c r="T21" s="15">
        <f t="shared" si="5"/>
        <v>4.3999999999999773</v>
      </c>
      <c r="AA21" s="15">
        <f t="shared" si="6"/>
        <v>-2</v>
      </c>
      <c r="AB21" s="15">
        <f t="shared" si="14"/>
        <v>2.6</v>
      </c>
      <c r="AC21" s="3" t="e">
        <f t="shared" si="16"/>
        <v>#VALUE!</v>
      </c>
      <c r="AD21" s="15" t="e">
        <f t="shared" si="11"/>
        <v>#VALUE!</v>
      </c>
      <c r="AE21" s="3" t="e">
        <f t="shared" si="12"/>
        <v>#VALUE!</v>
      </c>
      <c r="AF21" s="3">
        <f t="shared" si="13"/>
        <v>0</v>
      </c>
      <c r="AG21" s="16" t="e">
        <f t="shared" si="17"/>
        <v>#VALUE!</v>
      </c>
      <c r="AH21" s="15">
        <f t="shared" si="7"/>
        <v>0</v>
      </c>
      <c r="AO21" s="15">
        <f t="shared" si="8"/>
        <v>15.200000000000003</v>
      </c>
      <c r="AW21" s="3">
        <f t="shared" si="3"/>
        <v>850000</v>
      </c>
      <c r="AX21" s="3" t="e">
        <f t="shared" si="4"/>
        <v>#VALUE!</v>
      </c>
    </row>
    <row r="22" spans="1:50" ht="17" thickBot="1" x14ac:dyDescent="0.25">
      <c r="A22" s="5" t="s">
        <v>25</v>
      </c>
      <c r="B22" s="12" t="s">
        <v>26</v>
      </c>
      <c r="C22" s="12" t="s">
        <v>48</v>
      </c>
      <c r="D22" s="13">
        <v>7</v>
      </c>
      <c r="E22" s="14">
        <v>6403.9550799999997</v>
      </c>
      <c r="F22" s="14">
        <v>24.404599999999999</v>
      </c>
      <c r="G22" s="14">
        <v>0.8</v>
      </c>
      <c r="H22" s="13">
        <v>402</v>
      </c>
      <c r="I22" s="14">
        <v>371459.68588</v>
      </c>
      <c r="J22" s="14">
        <v>5264.7211799999995</v>
      </c>
      <c r="K22" s="14">
        <v>20.96</v>
      </c>
      <c r="L22" s="13" t="s">
        <v>35</v>
      </c>
      <c r="M22" s="14" t="s">
        <v>35</v>
      </c>
      <c r="N22" s="14" t="s">
        <v>35</v>
      </c>
      <c r="O22" s="14" t="s">
        <v>35</v>
      </c>
      <c r="P22" s="13">
        <v>75</v>
      </c>
      <c r="Q22" s="14">
        <v>69336.854089999993</v>
      </c>
      <c r="R22" s="14">
        <v>3105.65949</v>
      </c>
      <c r="S22" s="14">
        <v>0.8</v>
      </c>
      <c r="T22" s="15">
        <f t="shared" si="5"/>
        <v>33.599999999999966</v>
      </c>
      <c r="AA22" s="15">
        <f t="shared" si="6"/>
        <v>0</v>
      </c>
      <c r="AB22" s="15">
        <f t="shared" si="14"/>
        <v>2.6</v>
      </c>
      <c r="AC22" s="3" t="e">
        <f t="shared" si="16"/>
        <v>#VALUE!</v>
      </c>
      <c r="AD22" s="15">
        <f t="shared" si="11"/>
        <v>0</v>
      </c>
      <c r="AE22" s="3">
        <f t="shared" si="12"/>
        <v>0</v>
      </c>
      <c r="AF22" s="3">
        <f t="shared" si="13"/>
        <v>0</v>
      </c>
      <c r="AG22" s="16" t="e">
        <f t="shared" si="17"/>
        <v>#VALUE!</v>
      </c>
      <c r="AH22" s="15">
        <f t="shared" si="7"/>
        <v>0</v>
      </c>
      <c r="AO22" s="15">
        <f t="shared" si="8"/>
        <v>14.199999999999996</v>
      </c>
      <c r="AW22" s="3">
        <f t="shared" si="3"/>
        <v>900000</v>
      </c>
      <c r="AX22" s="3" t="e">
        <f t="shared" si="4"/>
        <v>#VALUE!</v>
      </c>
    </row>
    <row r="23" spans="1:50" ht="17" thickBot="1" x14ac:dyDescent="0.25">
      <c r="A23" s="5" t="s">
        <v>25</v>
      </c>
      <c r="B23" s="12" t="s">
        <v>26</v>
      </c>
      <c r="C23" s="12" t="s">
        <v>49</v>
      </c>
      <c r="D23" s="13">
        <v>8</v>
      </c>
      <c r="E23" s="14">
        <v>7843.1419999999998</v>
      </c>
      <c r="F23" s="14">
        <v>29.9678</v>
      </c>
      <c r="G23" s="14">
        <v>0</v>
      </c>
      <c r="H23" s="13">
        <v>368</v>
      </c>
      <c r="I23" s="14">
        <v>359051.62891999999</v>
      </c>
      <c r="J23" s="14">
        <v>5013.2539200000001</v>
      </c>
      <c r="K23" s="14">
        <v>28.155000000000001</v>
      </c>
      <c r="L23" s="13" t="s">
        <v>35</v>
      </c>
      <c r="M23" s="14" t="s">
        <v>35</v>
      </c>
      <c r="N23" s="14" t="s">
        <v>35</v>
      </c>
      <c r="O23" s="14" t="s">
        <v>35</v>
      </c>
      <c r="P23" s="13">
        <v>56</v>
      </c>
      <c r="Q23" s="14">
        <v>54660.295919999997</v>
      </c>
      <c r="R23" s="14">
        <v>2220.3453100000002</v>
      </c>
      <c r="S23" s="14">
        <v>0</v>
      </c>
      <c r="T23" s="15">
        <f t="shared" si="5"/>
        <v>40</v>
      </c>
      <c r="AA23" s="15"/>
      <c r="AB23" s="15"/>
      <c r="AC23" s="3"/>
      <c r="AD23" s="15"/>
      <c r="AE23" s="3"/>
      <c r="AF23" s="3"/>
      <c r="AG23" s="16"/>
      <c r="AH23" s="15">
        <f t="shared" si="7"/>
        <v>0</v>
      </c>
      <c r="AO23" s="15">
        <f t="shared" si="8"/>
        <v>6.6000000000000014</v>
      </c>
      <c r="AW23" s="3">
        <f t="shared" si="3"/>
        <v>950000</v>
      </c>
      <c r="AX23" s="3" t="e">
        <f t="shared" si="4"/>
        <v>#VALUE!</v>
      </c>
    </row>
    <row r="24" spans="1:50" ht="17" thickBot="1" x14ac:dyDescent="0.25">
      <c r="A24" s="5" t="s">
        <v>25</v>
      </c>
      <c r="B24" s="12" t="s">
        <v>26</v>
      </c>
      <c r="C24" s="12" t="s">
        <v>50</v>
      </c>
      <c r="D24" s="13" t="s">
        <v>35</v>
      </c>
      <c r="E24" s="14" t="s">
        <v>35</v>
      </c>
      <c r="F24" s="14" t="s">
        <v>35</v>
      </c>
      <c r="G24" s="14" t="s">
        <v>35</v>
      </c>
      <c r="H24" s="13">
        <v>345</v>
      </c>
      <c r="I24" s="14">
        <v>353356.05181999999</v>
      </c>
      <c r="J24" s="14">
        <v>4679.4170999999997</v>
      </c>
      <c r="K24" s="14">
        <v>23.71</v>
      </c>
      <c r="L24" s="13" t="s">
        <v>35</v>
      </c>
      <c r="M24" s="14" t="s">
        <v>35</v>
      </c>
      <c r="N24" s="14" t="s">
        <v>35</v>
      </c>
      <c r="O24" s="14" t="s">
        <v>35</v>
      </c>
      <c r="P24" s="13">
        <v>81</v>
      </c>
      <c r="Q24" s="14">
        <v>82790.331489999997</v>
      </c>
      <c r="R24" s="14">
        <v>3512.0716499999999</v>
      </c>
      <c r="S24" s="14">
        <v>0</v>
      </c>
      <c r="T24" s="15">
        <f t="shared" si="5"/>
        <v>49.800000000000011</v>
      </c>
      <c r="AA24" s="15"/>
      <c r="AB24" s="15"/>
      <c r="AC24" s="3"/>
      <c r="AD24" s="15"/>
      <c r="AE24" s="3"/>
      <c r="AF24" s="3"/>
      <c r="AG24" s="16"/>
      <c r="AH24" s="15" t="str">
        <f t="shared" si="7"/>
        <v>-</v>
      </c>
      <c r="AO24" s="15">
        <f t="shared" si="8"/>
        <v>13.200000000000003</v>
      </c>
      <c r="AW24" s="3">
        <f t="shared" si="3"/>
        <v>1000000</v>
      </c>
      <c r="AX24" s="3" t="e">
        <f t="shared" si="4"/>
        <v>#VALUE!</v>
      </c>
    </row>
    <row r="25" spans="1:50" ht="17" thickBot="1" x14ac:dyDescent="0.25">
      <c r="A25" s="5" t="s">
        <v>25</v>
      </c>
      <c r="B25" s="12" t="s">
        <v>26</v>
      </c>
      <c r="C25" s="12" t="s">
        <v>51</v>
      </c>
      <c r="D25" s="13">
        <v>3</v>
      </c>
      <c r="E25" s="14">
        <v>3217.1279800000002</v>
      </c>
      <c r="F25" s="14">
        <v>10.13786</v>
      </c>
      <c r="G25" s="14">
        <v>0</v>
      </c>
      <c r="H25" s="13">
        <v>313</v>
      </c>
      <c r="I25" s="14">
        <v>336324.02681000001</v>
      </c>
      <c r="J25" s="14">
        <v>4237.1272099999996</v>
      </c>
      <c r="K25" s="14">
        <v>31.01</v>
      </c>
      <c r="L25" s="13" t="s">
        <v>35</v>
      </c>
      <c r="M25" s="14" t="s">
        <v>35</v>
      </c>
      <c r="N25" s="14" t="s">
        <v>35</v>
      </c>
      <c r="O25" s="14" t="s">
        <v>35</v>
      </c>
      <c r="P25" s="13">
        <v>64</v>
      </c>
      <c r="Q25" s="14">
        <v>69026.814259999999</v>
      </c>
      <c r="R25" s="14">
        <v>3259.3952899999999</v>
      </c>
      <c r="S25" s="14">
        <v>1.42</v>
      </c>
      <c r="T25" s="15">
        <f t="shared" si="5"/>
        <v>46.600000000000023</v>
      </c>
      <c r="AA25" s="15"/>
      <c r="AB25" s="15"/>
      <c r="AC25" s="3"/>
      <c r="AD25" s="15"/>
      <c r="AE25" s="3"/>
      <c r="AF25" s="3"/>
      <c r="AG25" s="16"/>
      <c r="AH25" s="15" t="str">
        <f t="shared" si="7"/>
        <v>-</v>
      </c>
      <c r="AO25" s="15">
        <f t="shared" si="8"/>
        <v>16.600000000000001</v>
      </c>
      <c r="AW25" s="3">
        <f t="shared" si="3"/>
        <v>1050000</v>
      </c>
      <c r="AX25" s="3" t="e">
        <f t="shared" si="4"/>
        <v>#VALUE!</v>
      </c>
    </row>
    <row r="26" spans="1:50" ht="17" thickBot="1" x14ac:dyDescent="0.25">
      <c r="A26" s="5" t="s">
        <v>25</v>
      </c>
      <c r="B26" s="12" t="s">
        <v>26</v>
      </c>
      <c r="C26" s="12" t="s">
        <v>52</v>
      </c>
      <c r="D26" s="13">
        <v>2</v>
      </c>
      <c r="E26" s="14">
        <v>2235.5</v>
      </c>
      <c r="F26" s="14">
        <v>8.1188000000000002</v>
      </c>
      <c r="G26" s="14">
        <v>0</v>
      </c>
      <c r="H26" s="13">
        <v>341</v>
      </c>
      <c r="I26" s="14">
        <v>383475.58600000001</v>
      </c>
      <c r="J26" s="14">
        <v>4764.1982900000003</v>
      </c>
      <c r="K26" s="14">
        <v>16.96</v>
      </c>
      <c r="L26" s="13">
        <v>1</v>
      </c>
      <c r="M26" s="14">
        <v>1141.12724</v>
      </c>
      <c r="N26" s="14">
        <v>11.53383</v>
      </c>
      <c r="O26" s="14">
        <v>0</v>
      </c>
      <c r="P26" s="13">
        <v>54</v>
      </c>
      <c r="Q26" s="14">
        <v>60806.196060000002</v>
      </c>
      <c r="R26" s="14">
        <v>2702.3168000000001</v>
      </c>
      <c r="S26" s="14">
        <v>0</v>
      </c>
      <c r="T26" s="15">
        <f t="shared" si="5"/>
        <v>49</v>
      </c>
      <c r="AA26" s="15"/>
      <c r="AB26" s="15"/>
      <c r="AC26" s="3"/>
      <c r="AD26" s="15"/>
      <c r="AE26" s="3"/>
      <c r="AF26" s="3"/>
      <c r="AG26" s="16"/>
      <c r="AH26" s="15">
        <f t="shared" si="7"/>
        <v>0</v>
      </c>
      <c r="AO26" s="15">
        <f t="shared" si="8"/>
        <v>14.799999999999997</v>
      </c>
      <c r="AW26" s="3">
        <f t="shared" si="3"/>
        <v>1100000</v>
      </c>
      <c r="AX26" s="3" t="e">
        <f t="shared" si="4"/>
        <v>#VALUE!</v>
      </c>
    </row>
    <row r="27" spans="1:50" s="21" customFormat="1" ht="17" thickBot="1" x14ac:dyDescent="0.25">
      <c r="A27" s="17" t="s">
        <v>25</v>
      </c>
      <c r="B27" s="18" t="s">
        <v>26</v>
      </c>
      <c r="C27" s="18" t="s">
        <v>53</v>
      </c>
      <c r="D27" s="19">
        <v>3</v>
      </c>
      <c r="E27" s="20">
        <v>3503.0079999999998</v>
      </c>
      <c r="F27" s="20">
        <v>16.8704</v>
      </c>
      <c r="G27" s="20">
        <v>0</v>
      </c>
      <c r="H27" s="19">
        <v>302</v>
      </c>
      <c r="I27" s="20">
        <v>354721.79376999999</v>
      </c>
      <c r="J27" s="20">
        <v>4110.7870800000001</v>
      </c>
      <c r="K27" s="20">
        <v>21.04</v>
      </c>
      <c r="L27" s="19" t="s">
        <v>35</v>
      </c>
      <c r="M27" s="20" t="s">
        <v>35</v>
      </c>
      <c r="N27" s="20" t="s">
        <v>35</v>
      </c>
      <c r="O27" s="20" t="s">
        <v>35</v>
      </c>
      <c r="P27" s="19">
        <v>58</v>
      </c>
      <c r="Q27" s="20">
        <v>68063.925430000003</v>
      </c>
      <c r="R27" s="20">
        <v>3627.4977600000002</v>
      </c>
      <c r="S27" s="20">
        <v>0</v>
      </c>
      <c r="T27" s="15">
        <f t="shared" si="5"/>
        <v>31</v>
      </c>
      <c r="AA27" s="15"/>
      <c r="AB27" s="15"/>
      <c r="AC27" s="3"/>
      <c r="AD27" s="15"/>
      <c r="AE27" s="3"/>
      <c r="AF27" s="3"/>
      <c r="AG27" s="16"/>
      <c r="AH27" s="15">
        <f t="shared" si="7"/>
        <v>0</v>
      </c>
      <c r="AI27" s="2"/>
      <c r="AJ27" s="2"/>
      <c r="AK27" s="2"/>
      <c r="AL27" s="2"/>
      <c r="AM27" s="2"/>
      <c r="AN27" s="2"/>
      <c r="AO27" s="15">
        <f t="shared" si="8"/>
        <v>14.200000000000003</v>
      </c>
      <c r="AP27" s="2"/>
      <c r="AQ27" s="2"/>
      <c r="AR27" s="2"/>
      <c r="AS27" s="2"/>
      <c r="AT27" s="2"/>
      <c r="AU27" s="2"/>
      <c r="AV27" s="2"/>
      <c r="AW27" s="3">
        <f t="shared" si="3"/>
        <v>1150000</v>
      </c>
      <c r="AX27" s="3" t="e">
        <f t="shared" si="4"/>
        <v>#VALUE!</v>
      </c>
    </row>
    <row r="28" spans="1:50" ht="17" thickBot="1" x14ac:dyDescent="0.25">
      <c r="A28" s="5" t="s">
        <v>25</v>
      </c>
      <c r="B28" s="12" t="s">
        <v>26</v>
      </c>
      <c r="C28" s="12" t="s">
        <v>54</v>
      </c>
      <c r="D28" s="13" t="s">
        <v>35</v>
      </c>
      <c r="E28" s="14" t="s">
        <v>35</v>
      </c>
      <c r="F28" s="14" t="s">
        <v>35</v>
      </c>
      <c r="G28" s="14" t="s">
        <v>35</v>
      </c>
      <c r="H28" s="13">
        <v>324</v>
      </c>
      <c r="I28" s="14">
        <v>396354.6041</v>
      </c>
      <c r="J28" s="14">
        <v>4284.6953400000002</v>
      </c>
      <c r="K28" s="14">
        <v>29.75</v>
      </c>
      <c r="L28" s="13" t="s">
        <v>35</v>
      </c>
      <c r="M28" s="14" t="s">
        <v>35</v>
      </c>
      <c r="N28" s="14" t="s">
        <v>35</v>
      </c>
      <c r="O28" s="14" t="s">
        <v>35</v>
      </c>
      <c r="P28" s="13">
        <v>55</v>
      </c>
      <c r="Q28" s="14">
        <v>67333.852729999999</v>
      </c>
      <c r="R28" s="14">
        <v>2830.4620100000002</v>
      </c>
      <c r="S28" s="14">
        <v>0</v>
      </c>
      <c r="T28" s="15">
        <f t="shared" si="5"/>
        <v>30.800000000000011</v>
      </c>
      <c r="AA28" s="15"/>
      <c r="AB28" s="15"/>
      <c r="AC28" s="3"/>
      <c r="AD28" s="15"/>
      <c r="AE28" s="3"/>
      <c r="AF28" s="3"/>
      <c r="AG28" s="16"/>
      <c r="AH28" s="15">
        <f t="shared" si="7"/>
        <v>0</v>
      </c>
      <c r="AO28" s="15">
        <f t="shared" si="8"/>
        <v>17</v>
      </c>
      <c r="AW28" s="3">
        <f t="shared" si="3"/>
        <v>1200000</v>
      </c>
      <c r="AX28" s="3" t="e">
        <f t="shared" si="4"/>
        <v>#VALUE!</v>
      </c>
    </row>
    <row r="29" spans="1:50" ht="17" thickBot="1" x14ac:dyDescent="0.25">
      <c r="A29" s="5" t="s">
        <v>25</v>
      </c>
      <c r="B29" s="12" t="s">
        <v>26</v>
      </c>
      <c r="C29" s="12" t="s">
        <v>55</v>
      </c>
      <c r="D29" s="13" t="s">
        <v>35</v>
      </c>
      <c r="E29" s="14" t="s">
        <v>35</v>
      </c>
      <c r="F29" s="14" t="s">
        <v>35</v>
      </c>
      <c r="G29" s="14" t="s">
        <v>35</v>
      </c>
      <c r="H29" s="13">
        <v>309</v>
      </c>
      <c r="I29" s="14">
        <v>393951.94773999997</v>
      </c>
      <c r="J29" s="14">
        <v>4200.6010999999999</v>
      </c>
      <c r="K29" s="14">
        <v>31.79</v>
      </c>
      <c r="L29" s="13">
        <v>1</v>
      </c>
      <c r="M29" s="14">
        <v>1265.94469</v>
      </c>
      <c r="N29" s="14">
        <v>34.596699999999998</v>
      </c>
      <c r="O29" s="14">
        <v>0</v>
      </c>
      <c r="P29" s="13">
        <v>53</v>
      </c>
      <c r="Q29" s="14">
        <v>67588.011079999997</v>
      </c>
      <c r="R29" s="14">
        <v>3004.9026600000002</v>
      </c>
      <c r="S29" s="14">
        <v>0</v>
      </c>
      <c r="T29" s="15">
        <f t="shared" si="5"/>
        <v>30.199999999999989</v>
      </c>
      <c r="AA29" s="15" t="str">
        <f t="shared" si="6"/>
        <v>-</v>
      </c>
      <c r="AB29" s="15"/>
      <c r="AC29" s="3"/>
      <c r="AD29" s="15"/>
      <c r="AE29" s="3"/>
      <c r="AF29" s="3"/>
      <c r="AG29" s="16"/>
      <c r="AH29" s="15">
        <f t="shared" si="7"/>
        <v>0</v>
      </c>
      <c r="AO29" s="15">
        <f t="shared" si="8"/>
        <v>12.199999999999996</v>
      </c>
      <c r="AW29" s="3">
        <f t="shared" si="3"/>
        <v>1250000</v>
      </c>
      <c r="AX29" s="3" t="e">
        <f t="shared" si="4"/>
        <v>#VALUE!</v>
      </c>
    </row>
    <row r="30" spans="1:50" ht="17" thickBot="1" x14ac:dyDescent="0.25">
      <c r="A30" s="5" t="s">
        <v>25</v>
      </c>
      <c r="B30" s="12" t="s">
        <v>26</v>
      </c>
      <c r="C30" s="12" t="s">
        <v>56</v>
      </c>
      <c r="D30" s="13" t="s">
        <v>35</v>
      </c>
      <c r="E30" s="14" t="s">
        <v>35</v>
      </c>
      <c r="F30" s="14" t="s">
        <v>35</v>
      </c>
      <c r="G30" s="14" t="s">
        <v>35</v>
      </c>
      <c r="H30" s="13">
        <v>279</v>
      </c>
      <c r="I30" s="14">
        <v>369834.15824000002</v>
      </c>
      <c r="J30" s="14">
        <v>3763.41005</v>
      </c>
      <c r="K30" s="14">
        <v>24.95</v>
      </c>
      <c r="L30" s="13" t="s">
        <v>35</v>
      </c>
      <c r="M30" s="14" t="s">
        <v>35</v>
      </c>
      <c r="N30" s="14" t="s">
        <v>35</v>
      </c>
      <c r="O30" s="14" t="s">
        <v>35</v>
      </c>
      <c r="P30" s="13">
        <v>47</v>
      </c>
      <c r="Q30" s="14">
        <v>62175.430209999999</v>
      </c>
      <c r="R30" s="14">
        <v>2916.11472</v>
      </c>
      <c r="S30" s="14">
        <v>0</v>
      </c>
      <c r="T30" s="15">
        <f t="shared" si="5"/>
        <v>25.600000000000023</v>
      </c>
      <c r="AA30" s="15" t="str">
        <f t="shared" si="6"/>
        <v>-</v>
      </c>
      <c r="AB30" s="15"/>
      <c r="AC30" s="3"/>
      <c r="AD30" s="15"/>
      <c r="AE30" s="3"/>
      <c r="AF30" s="3"/>
      <c r="AG30" s="16"/>
      <c r="AH30" s="15">
        <f t="shared" si="7"/>
        <v>0</v>
      </c>
      <c r="AO30" s="15">
        <f t="shared" si="8"/>
        <v>12.199999999999996</v>
      </c>
      <c r="AW30" s="3">
        <f t="shared" si="3"/>
        <v>1300000</v>
      </c>
      <c r="AX30" s="3" t="e">
        <f t="shared" si="4"/>
        <v>#VALUE!</v>
      </c>
    </row>
    <row r="31" spans="1:50" ht="17" thickBot="1" x14ac:dyDescent="0.25">
      <c r="A31" s="5" t="s">
        <v>25</v>
      </c>
      <c r="B31" s="12" t="s">
        <v>26</v>
      </c>
      <c r="C31" s="12" t="s">
        <v>57</v>
      </c>
      <c r="D31" s="13" t="s">
        <v>35</v>
      </c>
      <c r="E31" s="14" t="s">
        <v>35</v>
      </c>
      <c r="F31" s="14" t="s">
        <v>35</v>
      </c>
      <c r="G31" s="14" t="s">
        <v>35</v>
      </c>
      <c r="H31" s="13">
        <v>310</v>
      </c>
      <c r="I31" s="14">
        <v>426115.71473000001</v>
      </c>
      <c r="J31" s="14">
        <v>4133.7579400000004</v>
      </c>
      <c r="K31" s="14">
        <v>26.46</v>
      </c>
      <c r="L31" s="13">
        <v>1</v>
      </c>
      <c r="M31" s="14">
        <v>1383.16065</v>
      </c>
      <c r="N31" s="14">
        <v>72.940640000000002</v>
      </c>
      <c r="O31" s="14">
        <v>0</v>
      </c>
      <c r="P31" s="13">
        <v>43</v>
      </c>
      <c r="Q31" s="14">
        <v>59044.510459999998</v>
      </c>
      <c r="R31" s="14">
        <v>2620.4105300000001</v>
      </c>
      <c r="S31" s="14">
        <v>0</v>
      </c>
      <c r="T31" s="15">
        <f t="shared" si="5"/>
        <v>29.600000000000023</v>
      </c>
      <c r="AA31" s="15" t="str">
        <f t="shared" si="6"/>
        <v>-</v>
      </c>
      <c r="AB31" s="15"/>
      <c r="AC31" s="3"/>
      <c r="AD31" s="15"/>
      <c r="AE31" s="3"/>
      <c r="AF31" s="3"/>
      <c r="AG31" s="16"/>
      <c r="AH31" s="15">
        <f t="shared" si="7"/>
        <v>0</v>
      </c>
      <c r="AO31" s="15">
        <f t="shared" si="8"/>
        <v>11.200000000000003</v>
      </c>
      <c r="AW31" s="3">
        <f t="shared" si="3"/>
        <v>1350000</v>
      </c>
      <c r="AX31" s="3" t="e">
        <f t="shared" si="4"/>
        <v>#VALUE!</v>
      </c>
    </row>
    <row r="32" spans="1:50" ht="17" thickBot="1" x14ac:dyDescent="0.25">
      <c r="A32" s="5" t="s">
        <v>25</v>
      </c>
      <c r="B32" s="12" t="s">
        <v>26</v>
      </c>
      <c r="C32" s="12" t="s">
        <v>58</v>
      </c>
      <c r="D32" s="13" t="s">
        <v>35</v>
      </c>
      <c r="E32" s="14" t="s">
        <v>35</v>
      </c>
      <c r="F32" s="14" t="s">
        <v>35</v>
      </c>
      <c r="G32" s="14" t="s">
        <v>35</v>
      </c>
      <c r="H32" s="13">
        <v>292</v>
      </c>
      <c r="I32" s="14">
        <v>416405.93797000003</v>
      </c>
      <c r="J32" s="14">
        <v>4052.5322200000001</v>
      </c>
      <c r="K32" s="14">
        <v>25.31</v>
      </c>
      <c r="L32" s="13" t="s">
        <v>35</v>
      </c>
      <c r="M32" s="14" t="s">
        <v>35</v>
      </c>
      <c r="N32" s="14" t="s">
        <v>35</v>
      </c>
      <c r="O32" s="14" t="s">
        <v>35</v>
      </c>
      <c r="P32" s="13">
        <v>44</v>
      </c>
      <c r="Q32" s="14">
        <v>62763.145219999999</v>
      </c>
      <c r="R32" s="14">
        <v>3097.2167300000001</v>
      </c>
      <c r="S32" s="14">
        <v>0</v>
      </c>
      <c r="T32" s="15">
        <f t="shared" si="5"/>
        <v>30.400000000000034</v>
      </c>
      <c r="AA32" s="15" t="str">
        <f t="shared" si="6"/>
        <v>-</v>
      </c>
      <c r="AB32" s="15"/>
      <c r="AC32" s="3"/>
      <c r="AD32" s="15"/>
      <c r="AE32" s="3"/>
      <c r="AF32" s="3"/>
      <c r="AG32" s="16"/>
      <c r="AH32" s="15">
        <f t="shared" si="7"/>
        <v>0</v>
      </c>
      <c r="AO32" s="15">
        <f t="shared" si="8"/>
        <v>10.399999999999999</v>
      </c>
      <c r="AW32" s="3">
        <f t="shared" si="3"/>
        <v>1400000</v>
      </c>
      <c r="AX32" s="3" t="e">
        <f t="shared" si="4"/>
        <v>#VALUE!</v>
      </c>
    </row>
    <row r="33" spans="1:50" ht="17" thickBot="1" x14ac:dyDescent="0.25">
      <c r="A33" s="5" t="s">
        <v>25</v>
      </c>
      <c r="B33" s="12" t="s">
        <v>26</v>
      </c>
      <c r="C33" s="12" t="s">
        <v>59</v>
      </c>
      <c r="D33" s="13" t="s">
        <v>35</v>
      </c>
      <c r="E33" s="14" t="s">
        <v>35</v>
      </c>
      <c r="F33" s="14" t="s">
        <v>35</v>
      </c>
      <c r="G33" s="14" t="s">
        <v>35</v>
      </c>
      <c r="H33" s="13">
        <v>281</v>
      </c>
      <c r="I33" s="14">
        <v>414169.90837000002</v>
      </c>
      <c r="J33" s="14">
        <v>3793.53568</v>
      </c>
      <c r="K33" s="14">
        <v>35.44</v>
      </c>
      <c r="L33" s="13" t="s">
        <v>35</v>
      </c>
      <c r="M33" s="14" t="s">
        <v>35</v>
      </c>
      <c r="N33" s="14" t="s">
        <v>35</v>
      </c>
      <c r="O33" s="14" t="s">
        <v>35</v>
      </c>
      <c r="P33" s="13">
        <v>40</v>
      </c>
      <c r="Q33" s="14">
        <v>59164.351779999997</v>
      </c>
      <c r="R33" s="14">
        <v>2859.0254199999999</v>
      </c>
      <c r="S33" s="14">
        <v>0</v>
      </c>
      <c r="T33" s="15">
        <f t="shared" si="5"/>
        <v>25</v>
      </c>
      <c r="AA33" s="15" t="str">
        <f t="shared" si="6"/>
        <v>-</v>
      </c>
      <c r="AB33" s="15"/>
      <c r="AC33" s="3"/>
      <c r="AD33" s="15"/>
      <c r="AE33" s="3"/>
      <c r="AF33" s="3"/>
      <c r="AG33" s="16"/>
      <c r="AH33" s="15">
        <f t="shared" si="7"/>
        <v>0</v>
      </c>
      <c r="AO33" s="15">
        <f t="shared" si="8"/>
        <v>8.1999999999999957</v>
      </c>
      <c r="AW33" s="3">
        <f t="shared" si="3"/>
        <v>1450000</v>
      </c>
      <c r="AX33" s="3" t="e">
        <f t="shared" si="4"/>
        <v>#VALUE!</v>
      </c>
    </row>
    <row r="34" spans="1:50" ht="17" thickBot="1" x14ac:dyDescent="0.25">
      <c r="A34" s="5" t="s">
        <v>25</v>
      </c>
      <c r="B34" s="12" t="s">
        <v>26</v>
      </c>
      <c r="C34" s="12" t="s">
        <v>60</v>
      </c>
      <c r="D34" s="13" t="s">
        <v>35</v>
      </c>
      <c r="E34" s="14" t="s">
        <v>35</v>
      </c>
      <c r="F34" s="14" t="s">
        <v>35</v>
      </c>
      <c r="G34" s="14" t="s">
        <v>35</v>
      </c>
      <c r="H34" s="13">
        <v>276</v>
      </c>
      <c r="I34" s="14">
        <v>420917.13175</v>
      </c>
      <c r="J34" s="14">
        <v>3828.2882800000002</v>
      </c>
      <c r="K34" s="14">
        <v>21.42</v>
      </c>
      <c r="L34" s="13">
        <v>1</v>
      </c>
      <c r="M34" s="14">
        <v>1546.49272</v>
      </c>
      <c r="N34" s="14">
        <v>45.528530000000003</v>
      </c>
      <c r="O34" s="14">
        <v>0</v>
      </c>
      <c r="P34" s="13">
        <v>49</v>
      </c>
      <c r="Q34" s="14">
        <v>74645.908750000002</v>
      </c>
      <c r="R34" s="14">
        <v>3032.8511800000001</v>
      </c>
      <c r="S34" s="14">
        <v>0.71</v>
      </c>
      <c r="T34" s="15">
        <f t="shared" si="5"/>
        <v>23.400000000000034</v>
      </c>
      <c r="AA34" s="15" t="str">
        <f t="shared" si="6"/>
        <v>-</v>
      </c>
      <c r="AB34" s="15"/>
      <c r="AC34" s="3"/>
      <c r="AD34" s="15"/>
      <c r="AE34" s="3"/>
      <c r="AF34" s="3"/>
      <c r="AG34" s="16"/>
      <c r="AH34" s="15">
        <f t="shared" si="7"/>
        <v>0</v>
      </c>
      <c r="AO34" s="15">
        <f t="shared" si="8"/>
        <v>12.8</v>
      </c>
      <c r="AW34" s="3">
        <f t="shared" si="3"/>
        <v>1500000</v>
      </c>
      <c r="AX34" s="3" t="e">
        <f t="shared" si="4"/>
        <v>#VALUE!</v>
      </c>
    </row>
    <row r="35" spans="1:50" ht="17" thickBot="1" x14ac:dyDescent="0.25">
      <c r="A35" s="5" t="s">
        <v>25</v>
      </c>
      <c r="B35" s="12" t="s">
        <v>26</v>
      </c>
      <c r="C35" s="12" t="s">
        <v>61</v>
      </c>
      <c r="D35" s="13" t="s">
        <v>35</v>
      </c>
      <c r="E35" s="14" t="s">
        <v>35</v>
      </c>
      <c r="F35" s="14" t="s">
        <v>35</v>
      </c>
      <c r="G35" s="14" t="s">
        <v>35</v>
      </c>
      <c r="H35" s="13">
        <v>268</v>
      </c>
      <c r="I35" s="14">
        <v>422213.80893</v>
      </c>
      <c r="J35" s="14">
        <v>3701.2931600000002</v>
      </c>
      <c r="K35" s="14">
        <v>20.25</v>
      </c>
      <c r="L35" s="13" t="s">
        <v>35</v>
      </c>
      <c r="M35" s="14" t="s">
        <v>35</v>
      </c>
      <c r="N35" s="14" t="s">
        <v>35</v>
      </c>
      <c r="O35" s="14" t="s">
        <v>35</v>
      </c>
      <c r="P35" s="13">
        <v>30</v>
      </c>
      <c r="Q35" s="14">
        <v>47117.359859999997</v>
      </c>
      <c r="R35" s="14">
        <v>1931.45922</v>
      </c>
      <c r="S35" s="14">
        <v>0</v>
      </c>
      <c r="T35" s="15">
        <f t="shared" si="5"/>
        <v>25.799999999999955</v>
      </c>
      <c r="AA35" s="15" t="str">
        <f t="shared" si="6"/>
        <v>-</v>
      </c>
      <c r="AB35" s="15"/>
      <c r="AC35" s="3"/>
      <c r="AD35" s="15"/>
      <c r="AE35" s="3"/>
      <c r="AF35" s="3"/>
      <c r="AG35" s="16"/>
      <c r="AH35" s="15">
        <f t="shared" si="7"/>
        <v>0</v>
      </c>
      <c r="AO35" s="15">
        <f t="shared" si="8"/>
        <v>8.8000000000000043</v>
      </c>
      <c r="AW35" s="3">
        <f t="shared" si="3"/>
        <v>1550000</v>
      </c>
      <c r="AX35" s="3" t="e">
        <f t="shared" si="4"/>
        <v>#VALUE!</v>
      </c>
    </row>
    <row r="36" spans="1:50" ht="17" thickBot="1" x14ac:dyDescent="0.25">
      <c r="A36" s="5" t="s">
        <v>25</v>
      </c>
      <c r="B36" s="12" t="s">
        <v>26</v>
      </c>
      <c r="C36" s="12" t="s">
        <v>62</v>
      </c>
      <c r="D36" s="13" t="s">
        <v>35</v>
      </c>
      <c r="E36" s="14" t="s">
        <v>35</v>
      </c>
      <c r="F36" s="14" t="s">
        <v>35</v>
      </c>
      <c r="G36" s="14" t="s">
        <v>35</v>
      </c>
      <c r="H36" s="13">
        <v>259</v>
      </c>
      <c r="I36" s="14">
        <v>420476.72340000002</v>
      </c>
      <c r="J36" s="14">
        <v>3752.7247499999999</v>
      </c>
      <c r="K36" s="14">
        <v>25.75</v>
      </c>
      <c r="L36" s="13" t="s">
        <v>35</v>
      </c>
      <c r="M36" s="14" t="s">
        <v>35</v>
      </c>
      <c r="N36" s="14" t="s">
        <v>35</v>
      </c>
      <c r="O36" s="14" t="s">
        <v>35</v>
      </c>
      <c r="P36" s="13">
        <v>37</v>
      </c>
      <c r="Q36" s="14">
        <v>60188.290800000002</v>
      </c>
      <c r="R36" s="14">
        <v>2399.9043000000001</v>
      </c>
      <c r="S36" s="14">
        <v>0</v>
      </c>
      <c r="T36" s="15">
        <f t="shared" si="5"/>
        <v>22.799999999999983</v>
      </c>
      <c r="AA36" s="15" t="str">
        <f t="shared" si="6"/>
        <v>-</v>
      </c>
      <c r="AB36" s="15"/>
      <c r="AC36" s="3"/>
      <c r="AD36" s="15"/>
      <c r="AE36" s="3"/>
      <c r="AF36" s="3"/>
      <c r="AG36" s="16"/>
      <c r="AH36" s="15">
        <f t="shared" si="7"/>
        <v>0</v>
      </c>
      <c r="AO36" s="15">
        <f t="shared" si="8"/>
        <v>10.199999999999999</v>
      </c>
      <c r="AW36" s="3">
        <f t="shared" si="3"/>
        <v>1600000</v>
      </c>
      <c r="AX36" s="3" t="e">
        <f t="shared" si="4"/>
        <v>#VALUE!</v>
      </c>
    </row>
    <row r="37" spans="1:50" ht="17" thickBot="1" x14ac:dyDescent="0.25">
      <c r="A37" s="5" t="s">
        <v>25</v>
      </c>
      <c r="B37" s="12" t="s">
        <v>26</v>
      </c>
      <c r="C37" s="12" t="s">
        <v>63</v>
      </c>
      <c r="D37" s="13" t="s">
        <v>35</v>
      </c>
      <c r="E37" s="14" t="s">
        <v>35</v>
      </c>
      <c r="F37" s="14" t="s">
        <v>35</v>
      </c>
      <c r="G37" s="14" t="s">
        <v>35</v>
      </c>
      <c r="H37" s="13">
        <v>278</v>
      </c>
      <c r="I37" s="14">
        <v>465705.97762999998</v>
      </c>
      <c r="J37" s="14">
        <v>3760.2692200000001</v>
      </c>
      <c r="K37" s="14">
        <v>24.945</v>
      </c>
      <c r="L37" s="13" t="s">
        <v>35</v>
      </c>
      <c r="M37" s="14" t="s">
        <v>35</v>
      </c>
      <c r="N37" s="14" t="s">
        <v>35</v>
      </c>
      <c r="O37" s="14" t="s">
        <v>35</v>
      </c>
      <c r="P37" s="13">
        <v>34</v>
      </c>
      <c r="Q37" s="14">
        <v>56933.887300000002</v>
      </c>
      <c r="R37" s="14">
        <v>2802.9596900000001</v>
      </c>
      <c r="S37" s="14">
        <v>0</v>
      </c>
      <c r="T37" s="15">
        <f t="shared" si="5"/>
        <v>32.399999999999977</v>
      </c>
      <c r="AA37" s="15" t="str">
        <f t="shared" si="6"/>
        <v>-</v>
      </c>
      <c r="AB37" s="15"/>
      <c r="AC37" s="3"/>
      <c r="AD37" s="15"/>
      <c r="AE37" s="3"/>
      <c r="AF37" s="3"/>
      <c r="AG37" s="16"/>
      <c r="AH37" s="15">
        <f t="shared" si="7"/>
        <v>0</v>
      </c>
      <c r="AO37" s="15">
        <f t="shared" si="8"/>
        <v>9.8000000000000007</v>
      </c>
      <c r="AW37" s="3">
        <f t="shared" si="3"/>
        <v>1650000</v>
      </c>
      <c r="AX37" s="3" t="e">
        <f t="shared" si="4"/>
        <v>#VALUE!</v>
      </c>
    </row>
    <row r="38" spans="1:50" ht="17" thickBot="1" x14ac:dyDescent="0.25">
      <c r="A38" s="5" t="s">
        <v>25</v>
      </c>
      <c r="B38" s="12" t="s">
        <v>26</v>
      </c>
      <c r="C38" s="12" t="s">
        <v>64</v>
      </c>
      <c r="D38" s="13" t="s">
        <v>35</v>
      </c>
      <c r="E38" s="14" t="s">
        <v>35</v>
      </c>
      <c r="F38" s="14" t="s">
        <v>35</v>
      </c>
      <c r="G38" s="14" t="s">
        <v>35</v>
      </c>
      <c r="H38" s="13">
        <v>265</v>
      </c>
      <c r="I38" s="14">
        <v>457125.89208999998</v>
      </c>
      <c r="J38" s="14">
        <v>3544.74062</v>
      </c>
      <c r="K38" s="14">
        <v>23.89</v>
      </c>
      <c r="L38" s="13">
        <v>1</v>
      </c>
      <c r="M38" s="14">
        <v>1731.7260000000001</v>
      </c>
      <c r="N38" s="14">
        <v>67.231999999999999</v>
      </c>
      <c r="O38" s="14">
        <v>0</v>
      </c>
      <c r="P38" s="13">
        <v>36</v>
      </c>
      <c r="Q38" s="14">
        <v>62112.173739999998</v>
      </c>
      <c r="R38" s="14">
        <v>2680.6224099999999</v>
      </c>
      <c r="S38" s="14">
        <v>0</v>
      </c>
      <c r="T38" s="15">
        <f t="shared" si="5"/>
        <v>36.799999999999983</v>
      </c>
      <c r="AA38" s="15" t="str">
        <f t="shared" si="6"/>
        <v>-</v>
      </c>
      <c r="AB38" s="15"/>
      <c r="AC38" s="3"/>
      <c r="AD38" s="15"/>
      <c r="AE38" s="3"/>
      <c r="AF38" s="3"/>
      <c r="AG38" s="16"/>
      <c r="AH38" s="15" t="str">
        <f t="shared" si="7"/>
        <v>-</v>
      </c>
      <c r="AO38" s="15">
        <f t="shared" si="8"/>
        <v>10.400000000000002</v>
      </c>
      <c r="AW38" s="3">
        <f t="shared" si="3"/>
        <v>1700000</v>
      </c>
      <c r="AX38" s="3" t="e">
        <f t="shared" si="4"/>
        <v>#VALUE!</v>
      </c>
    </row>
    <row r="39" spans="1:50" ht="17" thickBot="1" x14ac:dyDescent="0.25">
      <c r="A39" s="5" t="s">
        <v>25</v>
      </c>
      <c r="B39" s="12" t="s">
        <v>26</v>
      </c>
      <c r="C39" s="12" t="s">
        <v>65</v>
      </c>
      <c r="D39" s="13" t="s">
        <v>35</v>
      </c>
      <c r="E39" s="14" t="s">
        <v>35</v>
      </c>
      <c r="F39" s="14" t="s">
        <v>35</v>
      </c>
      <c r="G39" s="14" t="s">
        <v>35</v>
      </c>
      <c r="H39" s="13">
        <v>251</v>
      </c>
      <c r="I39" s="14">
        <v>445551.2769</v>
      </c>
      <c r="J39" s="14">
        <v>3623.0634700000001</v>
      </c>
      <c r="K39" s="14">
        <v>25.84</v>
      </c>
      <c r="L39" s="13" t="s">
        <v>35</v>
      </c>
      <c r="M39" s="14" t="s">
        <v>35</v>
      </c>
      <c r="N39" s="14" t="s">
        <v>35</v>
      </c>
      <c r="O39" s="14" t="s">
        <v>35</v>
      </c>
      <c r="P39" s="13">
        <v>22</v>
      </c>
      <c r="Q39" s="14">
        <v>39146.693149999999</v>
      </c>
      <c r="R39" s="14">
        <v>1496.9347</v>
      </c>
      <c r="S39" s="14">
        <v>0</v>
      </c>
      <c r="T39" s="15">
        <f t="shared" si="5"/>
        <v>43.399999999999977</v>
      </c>
      <c r="AA39" s="15" t="str">
        <f t="shared" si="6"/>
        <v>-</v>
      </c>
      <c r="AB39" s="15"/>
      <c r="AC39" s="3"/>
      <c r="AD39" s="15"/>
      <c r="AE39" s="3"/>
      <c r="AF39" s="3"/>
      <c r="AG39" s="16"/>
      <c r="AH39" s="15" t="str">
        <f t="shared" si="7"/>
        <v>-</v>
      </c>
      <c r="AO39" s="15">
        <f t="shared" si="8"/>
        <v>2.6000000000000014</v>
      </c>
      <c r="AW39" s="3">
        <f t="shared" si="3"/>
        <v>1750000</v>
      </c>
      <c r="AX39" s="3" t="e">
        <f t="shared" si="4"/>
        <v>#VALUE!</v>
      </c>
    </row>
    <row r="40" spans="1:50" ht="17" thickBot="1" x14ac:dyDescent="0.25">
      <c r="A40" s="5" t="s">
        <v>25</v>
      </c>
      <c r="B40" s="12" t="s">
        <v>26</v>
      </c>
      <c r="C40" s="12" t="s">
        <v>66</v>
      </c>
      <c r="D40" s="13" t="s">
        <v>35</v>
      </c>
      <c r="E40" s="14" t="s">
        <v>35</v>
      </c>
      <c r="F40" s="14" t="s">
        <v>35</v>
      </c>
      <c r="G40" s="14" t="s">
        <v>35</v>
      </c>
      <c r="H40" s="13">
        <v>245</v>
      </c>
      <c r="I40" s="14">
        <v>446966.78671999997</v>
      </c>
      <c r="J40" s="14">
        <v>3362.8037899999999</v>
      </c>
      <c r="K40" s="14">
        <v>18.2</v>
      </c>
      <c r="L40" s="13" t="s">
        <v>35</v>
      </c>
      <c r="M40" s="14" t="s">
        <v>35</v>
      </c>
      <c r="N40" s="14" t="s">
        <v>35</v>
      </c>
      <c r="O40" s="14" t="s">
        <v>35</v>
      </c>
      <c r="P40" s="13">
        <v>33</v>
      </c>
      <c r="Q40" s="14">
        <v>60237.568579999999</v>
      </c>
      <c r="R40" s="14">
        <v>2703.1935699999999</v>
      </c>
      <c r="S40" s="14">
        <v>0</v>
      </c>
      <c r="T40" s="15">
        <f t="shared" si="5"/>
        <v>41.000000000000028</v>
      </c>
      <c r="AA40" s="15" t="str">
        <f t="shared" si="6"/>
        <v>-</v>
      </c>
      <c r="AB40" s="15"/>
      <c r="AC40" s="3"/>
      <c r="AD40" s="15"/>
      <c r="AE40" s="3"/>
      <c r="AF40" s="3"/>
      <c r="AG40" s="16"/>
      <c r="AH40" s="15" t="str">
        <f t="shared" si="7"/>
        <v>-</v>
      </c>
      <c r="AO40" s="15">
        <f t="shared" si="8"/>
        <v>4.3999999999999986</v>
      </c>
      <c r="AW40" s="3">
        <f t="shared" si="3"/>
        <v>1800000</v>
      </c>
      <c r="AX40" s="3" t="e">
        <f t="shared" si="4"/>
        <v>#VALUE!</v>
      </c>
    </row>
    <row r="41" spans="1:50" ht="17" thickBot="1" x14ac:dyDescent="0.25">
      <c r="A41" s="5" t="s">
        <v>25</v>
      </c>
      <c r="B41" s="12" t="s">
        <v>26</v>
      </c>
      <c r="C41" s="12" t="s">
        <v>67</v>
      </c>
      <c r="D41" s="13" t="s">
        <v>35</v>
      </c>
      <c r="E41" s="14" t="s">
        <v>35</v>
      </c>
      <c r="F41" s="14" t="s">
        <v>35</v>
      </c>
      <c r="G41" s="14" t="s">
        <v>35</v>
      </c>
      <c r="H41" s="13">
        <v>223</v>
      </c>
      <c r="I41" s="14">
        <v>417913.46285000001</v>
      </c>
      <c r="J41" s="14">
        <v>3287.9447100000002</v>
      </c>
      <c r="K41" s="14">
        <v>31.733049999999999</v>
      </c>
      <c r="L41" s="13" t="s">
        <v>35</v>
      </c>
      <c r="M41" s="14" t="s">
        <v>35</v>
      </c>
      <c r="N41" s="14" t="s">
        <v>35</v>
      </c>
      <c r="O41" s="14" t="s">
        <v>35</v>
      </c>
      <c r="P41" s="13">
        <v>24</v>
      </c>
      <c r="Q41" s="14">
        <v>44965.861290000001</v>
      </c>
      <c r="R41" s="14">
        <v>2253.7797399999999</v>
      </c>
      <c r="S41" s="14">
        <v>0</v>
      </c>
      <c r="T41" s="15">
        <f t="shared" si="5"/>
        <v>32.400000000000006</v>
      </c>
      <c r="AA41" s="15" t="str">
        <f t="shared" si="6"/>
        <v>-</v>
      </c>
      <c r="AB41" s="15"/>
      <c r="AC41" s="3"/>
      <c r="AD41" s="15"/>
      <c r="AE41" s="3"/>
      <c r="AF41" s="3"/>
      <c r="AG41" s="16"/>
      <c r="AH41" s="15" t="str">
        <f t="shared" si="7"/>
        <v>-</v>
      </c>
      <c r="AO41" s="15">
        <f t="shared" si="8"/>
        <v>0.80000000000000071</v>
      </c>
      <c r="AW41" s="3">
        <f t="shared" si="3"/>
        <v>1850000</v>
      </c>
      <c r="AX41" s="3" t="e">
        <f t="shared" si="4"/>
        <v>#VALUE!</v>
      </c>
    </row>
    <row r="42" spans="1:50" ht="17" thickBot="1" x14ac:dyDescent="0.25">
      <c r="A42" s="5" t="s">
        <v>25</v>
      </c>
      <c r="B42" s="12" t="s">
        <v>26</v>
      </c>
      <c r="C42" s="12" t="s">
        <v>68</v>
      </c>
      <c r="D42" s="13" t="s">
        <v>35</v>
      </c>
      <c r="E42" s="14" t="s">
        <v>35</v>
      </c>
      <c r="F42" s="14" t="s">
        <v>35</v>
      </c>
      <c r="G42" s="14" t="s">
        <v>35</v>
      </c>
      <c r="H42" s="13">
        <v>216</v>
      </c>
      <c r="I42" s="14">
        <v>415553.93135999999</v>
      </c>
      <c r="J42" s="14">
        <v>2881.4647399999999</v>
      </c>
      <c r="K42" s="14">
        <v>17.23</v>
      </c>
      <c r="L42" s="13" t="s">
        <v>35</v>
      </c>
      <c r="M42" s="14" t="s">
        <v>35</v>
      </c>
      <c r="N42" s="14" t="s">
        <v>35</v>
      </c>
      <c r="O42" s="14" t="s">
        <v>35</v>
      </c>
      <c r="P42" s="13">
        <v>26</v>
      </c>
      <c r="Q42" s="14">
        <v>50052.194329999998</v>
      </c>
      <c r="R42" s="14">
        <v>2127.1313</v>
      </c>
      <c r="S42" s="14">
        <v>0</v>
      </c>
      <c r="T42" s="15">
        <f t="shared" si="5"/>
        <v>18.800000000000011</v>
      </c>
      <c r="AA42" s="15" t="str">
        <f t="shared" si="6"/>
        <v>-</v>
      </c>
      <c r="AB42" s="15"/>
      <c r="AC42" s="3"/>
      <c r="AD42" s="15"/>
      <c r="AE42" s="3"/>
      <c r="AF42" s="3"/>
      <c r="AG42" s="16"/>
      <c r="AH42" s="15">
        <f t="shared" si="7"/>
        <v>-2</v>
      </c>
      <c r="AO42" s="15">
        <f t="shared" si="8"/>
        <v>-1.6000000000000014</v>
      </c>
      <c r="AW42" s="3">
        <f t="shared" si="3"/>
        <v>1900000</v>
      </c>
      <c r="AX42" s="3" t="e">
        <f t="shared" si="4"/>
        <v>#VALUE!</v>
      </c>
    </row>
    <row r="43" spans="1:50" ht="17" thickBot="1" x14ac:dyDescent="0.25">
      <c r="A43" s="5" t="s">
        <v>25</v>
      </c>
      <c r="B43" s="12" t="s">
        <v>26</v>
      </c>
      <c r="C43" s="12" t="s">
        <v>69</v>
      </c>
      <c r="D43" s="13" t="s">
        <v>35</v>
      </c>
      <c r="E43" s="14" t="s">
        <v>35</v>
      </c>
      <c r="F43" s="14" t="s">
        <v>35</v>
      </c>
      <c r="G43" s="14" t="s">
        <v>35</v>
      </c>
      <c r="H43" s="13">
        <v>227</v>
      </c>
      <c r="I43" s="14">
        <v>448356.45218999998</v>
      </c>
      <c r="J43" s="14">
        <v>3388.1597999999999</v>
      </c>
      <c r="K43" s="14">
        <v>29.57</v>
      </c>
      <c r="L43" s="13" t="s">
        <v>35</v>
      </c>
      <c r="M43" s="14" t="s">
        <v>35</v>
      </c>
      <c r="N43" s="14" t="s">
        <v>35</v>
      </c>
      <c r="O43" s="14" t="s">
        <v>35</v>
      </c>
      <c r="P43" s="13">
        <v>29</v>
      </c>
      <c r="Q43" s="14">
        <v>57248.249559999997</v>
      </c>
      <c r="R43" s="14">
        <v>2422.2857100000001</v>
      </c>
      <c r="S43" s="14">
        <v>0</v>
      </c>
      <c r="T43" s="15">
        <f t="shared" si="5"/>
        <v>10.599999999999994</v>
      </c>
      <c r="AA43" s="15" t="str">
        <f t="shared" si="6"/>
        <v>-</v>
      </c>
      <c r="AB43" s="15"/>
      <c r="AC43" s="3"/>
      <c r="AD43" s="15"/>
      <c r="AE43" s="3"/>
      <c r="AF43" s="3"/>
      <c r="AG43" s="16"/>
      <c r="AH43" s="15" t="str">
        <f t="shared" si="7"/>
        <v>-</v>
      </c>
      <c r="AO43" s="15">
        <f t="shared" si="8"/>
        <v>-2.8000000000000007</v>
      </c>
      <c r="AW43" s="3">
        <f t="shared" si="3"/>
        <v>1950000</v>
      </c>
      <c r="AX43" s="3" t="e">
        <f t="shared" si="4"/>
        <v>#VALUE!</v>
      </c>
    </row>
    <row r="44" spans="1:50" ht="17" thickBot="1" x14ac:dyDescent="0.25">
      <c r="A44" s="5" t="s">
        <v>25</v>
      </c>
      <c r="B44" s="12" t="s">
        <v>26</v>
      </c>
      <c r="C44" s="12" t="s">
        <v>70</v>
      </c>
      <c r="D44" s="13" t="s">
        <v>35</v>
      </c>
      <c r="E44" s="14" t="s">
        <v>35</v>
      </c>
      <c r="F44" s="14" t="s">
        <v>35</v>
      </c>
      <c r="G44" s="14" t="s">
        <v>35</v>
      </c>
      <c r="H44" s="13">
        <v>193</v>
      </c>
      <c r="I44" s="14">
        <v>390578.51948000002</v>
      </c>
      <c r="J44" s="14">
        <v>2770.7363799999998</v>
      </c>
      <c r="K44" s="14">
        <v>24.06</v>
      </c>
      <c r="L44" s="13" t="s">
        <v>35</v>
      </c>
      <c r="M44" s="14" t="s">
        <v>35</v>
      </c>
      <c r="N44" s="14" t="s">
        <v>35</v>
      </c>
      <c r="O44" s="14" t="s">
        <v>35</v>
      </c>
      <c r="P44" s="13">
        <v>34</v>
      </c>
      <c r="Q44" s="14">
        <v>68798.669550000006</v>
      </c>
      <c r="R44" s="14">
        <v>3019.00479</v>
      </c>
      <c r="S44" s="14">
        <v>0</v>
      </c>
      <c r="T44" s="15">
        <f t="shared" si="5"/>
        <v>-7.5999999999999943</v>
      </c>
      <c r="AA44" s="15" t="str">
        <f t="shared" si="6"/>
        <v>-</v>
      </c>
      <c r="AB44" s="15"/>
      <c r="AC44" s="3"/>
      <c r="AD44" s="15"/>
      <c r="AE44" s="3"/>
      <c r="AF44" s="3"/>
      <c r="AG44" s="16"/>
      <c r="AH44" s="15" t="str">
        <f t="shared" si="7"/>
        <v>-</v>
      </c>
      <c r="AO44" s="15">
        <f t="shared" si="8"/>
        <v>1.5999999999999979</v>
      </c>
      <c r="AW44" s="3">
        <f t="shared" si="3"/>
        <v>2000000</v>
      </c>
      <c r="AX44" s="3" t="e">
        <f t="shared" si="4"/>
        <v>#VALUE!</v>
      </c>
    </row>
    <row r="45" spans="1:50" ht="17" thickBot="1" x14ac:dyDescent="0.25">
      <c r="A45" s="5" t="s">
        <v>25</v>
      </c>
      <c r="B45" s="12" t="s">
        <v>26</v>
      </c>
      <c r="C45" s="12" t="s">
        <v>71</v>
      </c>
      <c r="D45" s="13" t="s">
        <v>35</v>
      </c>
      <c r="E45" s="14" t="s">
        <v>35</v>
      </c>
      <c r="F45" s="14" t="s">
        <v>35</v>
      </c>
      <c r="G45" s="14" t="s">
        <v>35</v>
      </c>
      <c r="H45" s="13">
        <v>234</v>
      </c>
      <c r="I45" s="14">
        <v>485872.86958</v>
      </c>
      <c r="J45" s="14">
        <v>3341.7286399999998</v>
      </c>
      <c r="K45" s="14">
        <v>22.28</v>
      </c>
      <c r="L45" s="13" t="s">
        <v>35</v>
      </c>
      <c r="M45" s="14" t="s">
        <v>35</v>
      </c>
      <c r="N45" s="14" t="s">
        <v>35</v>
      </c>
      <c r="O45" s="14" t="s">
        <v>35</v>
      </c>
      <c r="P45" s="13">
        <v>27</v>
      </c>
      <c r="Q45" s="14">
        <v>56076.836929999998</v>
      </c>
      <c r="R45" s="14">
        <v>2386.85169</v>
      </c>
      <c r="S45" s="14">
        <v>0</v>
      </c>
      <c r="T45" s="15">
        <f t="shared" si="5"/>
        <v>-10.400000000000006</v>
      </c>
      <c r="AA45" s="15" t="str">
        <f t="shared" si="6"/>
        <v>-</v>
      </c>
      <c r="AB45" s="15"/>
      <c r="AC45" s="3"/>
      <c r="AD45" s="15"/>
      <c r="AE45" s="3"/>
      <c r="AF45" s="3"/>
      <c r="AG45" s="16"/>
      <c r="AH45" s="15" t="str">
        <f t="shared" si="7"/>
        <v>-</v>
      </c>
      <c r="AO45" s="15">
        <f t="shared" si="8"/>
        <v>1.1999999999999993</v>
      </c>
      <c r="AW45" s="3">
        <f t="shared" si="3"/>
        <v>2050000</v>
      </c>
      <c r="AX45" s="3" t="e">
        <f t="shared" si="4"/>
        <v>#VALUE!</v>
      </c>
    </row>
    <row r="46" spans="1:50" ht="17" thickBot="1" x14ac:dyDescent="0.25">
      <c r="A46" s="5" t="s">
        <v>25</v>
      </c>
      <c r="B46" s="12" t="s">
        <v>26</v>
      </c>
      <c r="C46" s="12" t="s">
        <v>72</v>
      </c>
      <c r="D46" s="13" t="s">
        <v>35</v>
      </c>
      <c r="E46" s="14" t="s">
        <v>35</v>
      </c>
      <c r="F46" s="14" t="s">
        <v>35</v>
      </c>
      <c r="G46" s="14" t="s">
        <v>35</v>
      </c>
      <c r="H46" s="13">
        <v>230</v>
      </c>
      <c r="I46" s="14">
        <v>488728.36285999999</v>
      </c>
      <c r="J46" s="14">
        <v>3056.30953</v>
      </c>
      <c r="K46" s="14">
        <v>24.272500000000001</v>
      </c>
      <c r="L46" s="13" t="s">
        <v>35</v>
      </c>
      <c r="M46" s="14" t="s">
        <v>35</v>
      </c>
      <c r="N46" s="14" t="s">
        <v>35</v>
      </c>
      <c r="O46" s="14" t="s">
        <v>35</v>
      </c>
      <c r="P46" s="13">
        <v>29</v>
      </c>
      <c r="Q46" s="14">
        <v>61584.659180000002</v>
      </c>
      <c r="R46" s="14">
        <v>2687.6584400000002</v>
      </c>
      <c r="S46" s="14">
        <v>0</v>
      </c>
      <c r="T46" s="15">
        <f t="shared" si="5"/>
        <v>-2.5999999999999943</v>
      </c>
      <c r="AA46" s="15" t="str">
        <f t="shared" si="6"/>
        <v>-</v>
      </c>
      <c r="AB46" s="15"/>
      <c r="AC46" s="3"/>
      <c r="AD46" s="15"/>
      <c r="AE46" s="3"/>
      <c r="AF46" s="3"/>
      <c r="AG46" s="16"/>
      <c r="AH46" s="15" t="str">
        <f t="shared" si="7"/>
        <v>-</v>
      </c>
      <c r="AO46" s="15">
        <f t="shared" si="8"/>
        <v>3.3999999999999986</v>
      </c>
      <c r="AW46" s="3">
        <f t="shared" si="3"/>
        <v>2100000</v>
      </c>
      <c r="AX46" s="3" t="e">
        <f t="shared" si="4"/>
        <v>#VALUE!</v>
      </c>
    </row>
    <row r="47" spans="1:50" ht="17" thickBot="1" x14ac:dyDescent="0.25">
      <c r="A47" s="5" t="s">
        <v>25</v>
      </c>
      <c r="B47" s="12" t="s">
        <v>26</v>
      </c>
      <c r="C47" s="12" t="s">
        <v>73</v>
      </c>
      <c r="D47" s="13" t="s">
        <v>35</v>
      </c>
      <c r="E47" s="14" t="s">
        <v>35</v>
      </c>
      <c r="F47" s="14" t="s">
        <v>35</v>
      </c>
      <c r="G47" s="14" t="s">
        <v>35</v>
      </c>
      <c r="H47" s="13">
        <v>222</v>
      </c>
      <c r="I47" s="14">
        <v>482646.10525000002</v>
      </c>
      <c r="J47" s="14">
        <v>3110.3916599999998</v>
      </c>
      <c r="K47" s="14">
        <v>23.44</v>
      </c>
      <c r="L47" s="13">
        <v>3</v>
      </c>
      <c r="M47" s="14">
        <v>6564.4144100000003</v>
      </c>
      <c r="N47" s="14">
        <v>208.02776</v>
      </c>
      <c r="O47" s="14">
        <v>0</v>
      </c>
      <c r="P47" s="13">
        <v>30</v>
      </c>
      <c r="Q47" s="14">
        <v>65291.250749999999</v>
      </c>
      <c r="R47" s="14">
        <v>2268.80834</v>
      </c>
      <c r="S47" s="14">
        <v>0</v>
      </c>
      <c r="T47" s="15">
        <f t="shared" si="5"/>
        <v>5</v>
      </c>
      <c r="AA47" s="15" t="str">
        <f t="shared" si="6"/>
        <v>-</v>
      </c>
      <c r="AB47" s="15"/>
      <c r="AC47" s="3"/>
      <c r="AD47" s="15"/>
      <c r="AE47" s="3"/>
      <c r="AF47" s="3"/>
      <c r="AG47" s="16"/>
      <c r="AH47" s="15">
        <f t="shared" si="7"/>
        <v>2</v>
      </c>
      <c r="AO47" s="15">
        <f t="shared" si="8"/>
        <v>4.8000000000000007</v>
      </c>
      <c r="AW47" s="3">
        <f t="shared" si="3"/>
        <v>2150000</v>
      </c>
      <c r="AX47" s="3" t="e">
        <f t="shared" si="4"/>
        <v>#VALUE!</v>
      </c>
    </row>
    <row r="48" spans="1:50" ht="17" thickBot="1" x14ac:dyDescent="0.25">
      <c r="A48" s="5" t="s">
        <v>25</v>
      </c>
      <c r="B48" s="12" t="s">
        <v>26</v>
      </c>
      <c r="C48" s="12" t="s">
        <v>74</v>
      </c>
      <c r="D48" s="13" t="s">
        <v>35</v>
      </c>
      <c r="E48" s="14" t="s">
        <v>35</v>
      </c>
      <c r="F48" s="14" t="s">
        <v>35</v>
      </c>
      <c r="G48" s="14" t="s">
        <v>35</v>
      </c>
      <c r="H48" s="13">
        <v>230</v>
      </c>
      <c r="I48" s="14">
        <v>511515.06187999999</v>
      </c>
      <c r="J48" s="14">
        <v>3260.3036200000001</v>
      </c>
      <c r="K48" s="14">
        <v>21.31</v>
      </c>
      <c r="L48" s="13" t="s">
        <v>35</v>
      </c>
      <c r="M48" s="14" t="s">
        <v>35</v>
      </c>
      <c r="N48" s="14" t="s">
        <v>35</v>
      </c>
      <c r="O48" s="14" t="s">
        <v>35</v>
      </c>
      <c r="P48" s="13">
        <v>28</v>
      </c>
      <c r="Q48" s="14">
        <v>62385.345999999998</v>
      </c>
      <c r="R48" s="14">
        <v>2677.70559</v>
      </c>
      <c r="S48" s="14">
        <v>0</v>
      </c>
      <c r="T48" s="15">
        <f t="shared" si="5"/>
        <v>14</v>
      </c>
      <c r="AA48" s="15" t="str">
        <f t="shared" si="6"/>
        <v>-</v>
      </c>
      <c r="AB48" s="15"/>
      <c r="AC48" s="3"/>
      <c r="AD48" s="15"/>
      <c r="AE48" s="3"/>
      <c r="AF48" s="3"/>
      <c r="AG48" s="16"/>
      <c r="AH48" s="15">
        <f t="shared" si="7"/>
        <v>2</v>
      </c>
      <c r="AO48" s="15">
        <f t="shared" si="8"/>
        <v>5.2000000000000028</v>
      </c>
      <c r="AW48" s="3">
        <f t="shared" si="3"/>
        <v>2200000</v>
      </c>
      <c r="AX48" s="3" t="e">
        <f t="shared" si="4"/>
        <v>#VALUE!</v>
      </c>
    </row>
    <row r="49" spans="1:50" ht="17" thickBot="1" x14ac:dyDescent="0.25">
      <c r="A49" s="5" t="s">
        <v>25</v>
      </c>
      <c r="B49" s="12" t="s">
        <v>26</v>
      </c>
      <c r="C49" s="12" t="s">
        <v>75</v>
      </c>
      <c r="D49" s="13" t="s">
        <v>35</v>
      </c>
      <c r="E49" s="14" t="s">
        <v>35</v>
      </c>
      <c r="F49" s="14" t="s">
        <v>35</v>
      </c>
      <c r="G49" s="14" t="s">
        <v>35</v>
      </c>
      <c r="H49" s="13">
        <v>226</v>
      </c>
      <c r="I49" s="14">
        <v>514124.80161999998</v>
      </c>
      <c r="J49" s="14">
        <v>3306.0486099999998</v>
      </c>
      <c r="K49" s="14">
        <v>26.1</v>
      </c>
      <c r="L49" s="13">
        <v>1</v>
      </c>
      <c r="M49" s="14">
        <v>2253.2839100000001</v>
      </c>
      <c r="N49" s="14">
        <v>67.298519999999996</v>
      </c>
      <c r="O49" s="14">
        <v>0</v>
      </c>
      <c r="P49" s="13">
        <v>24</v>
      </c>
      <c r="Q49" s="14">
        <v>54621.41732</v>
      </c>
      <c r="R49" s="14">
        <v>2435.24647</v>
      </c>
      <c r="S49" s="14">
        <v>0</v>
      </c>
      <c r="T49" s="15">
        <f t="shared" si="5"/>
        <v>14</v>
      </c>
      <c r="AA49" s="15" t="str">
        <f t="shared" si="6"/>
        <v>-</v>
      </c>
      <c r="AB49" s="15"/>
      <c r="AC49" s="3"/>
      <c r="AD49" s="15"/>
      <c r="AE49" s="3"/>
      <c r="AF49" s="3"/>
      <c r="AG49" s="16"/>
      <c r="AH49" s="15" t="str">
        <f t="shared" si="7"/>
        <v>-</v>
      </c>
      <c r="AO49" s="15">
        <f t="shared" si="8"/>
        <v>3.4000000000000021</v>
      </c>
      <c r="AW49" s="3">
        <f t="shared" si="3"/>
        <v>2250000</v>
      </c>
      <c r="AX49" s="3" t="e">
        <f t="shared" si="4"/>
        <v>#VALUE!</v>
      </c>
    </row>
    <row r="50" spans="1:50" ht="17" thickBot="1" x14ac:dyDescent="0.25">
      <c r="A50" s="5" t="s">
        <v>25</v>
      </c>
      <c r="B50" s="12" t="s">
        <v>26</v>
      </c>
      <c r="C50" s="12" t="s">
        <v>76</v>
      </c>
      <c r="D50" s="13" t="s">
        <v>35</v>
      </c>
      <c r="E50" s="14" t="s">
        <v>35</v>
      </c>
      <c r="F50" s="14" t="s">
        <v>35</v>
      </c>
      <c r="G50" s="14" t="s">
        <v>35</v>
      </c>
      <c r="H50" s="13">
        <v>237</v>
      </c>
      <c r="I50" s="14">
        <v>550989.14228000003</v>
      </c>
      <c r="J50" s="14">
        <v>3374.67094</v>
      </c>
      <c r="K50" s="14">
        <v>14.83</v>
      </c>
      <c r="L50" s="13" t="s">
        <v>35</v>
      </c>
      <c r="M50" s="14" t="s">
        <v>35</v>
      </c>
      <c r="N50" s="14" t="s">
        <v>35</v>
      </c>
      <c r="O50" s="14" t="s">
        <v>35</v>
      </c>
      <c r="P50" s="13">
        <v>23</v>
      </c>
      <c r="Q50" s="14">
        <v>53508.091509999998</v>
      </c>
      <c r="R50" s="14">
        <v>2408.7635100000002</v>
      </c>
      <c r="S50" s="14">
        <v>0</v>
      </c>
      <c r="T50" s="15">
        <f t="shared" si="5"/>
        <v>19</v>
      </c>
      <c r="AA50" s="15" t="str">
        <f t="shared" si="6"/>
        <v>-</v>
      </c>
      <c r="AB50" s="15"/>
      <c r="AC50" s="3"/>
      <c r="AD50" s="15"/>
      <c r="AE50" s="3"/>
      <c r="AF50" s="3"/>
      <c r="AG50" s="16"/>
      <c r="AH50" s="15" t="str">
        <f t="shared" si="7"/>
        <v>-</v>
      </c>
      <c r="AO50" s="15">
        <f t="shared" si="8"/>
        <v>3.1999999999999993</v>
      </c>
      <c r="AW50" s="3">
        <f t="shared" si="3"/>
        <v>2300000</v>
      </c>
      <c r="AX50" s="3" t="e">
        <f t="shared" si="4"/>
        <v>#VALUE!</v>
      </c>
    </row>
    <row r="51" spans="1:50" ht="17" thickBot="1" x14ac:dyDescent="0.25">
      <c r="A51" s="5" t="s">
        <v>25</v>
      </c>
      <c r="B51" s="12" t="s">
        <v>26</v>
      </c>
      <c r="C51" s="12" t="s">
        <v>77</v>
      </c>
      <c r="D51" s="13" t="s">
        <v>35</v>
      </c>
      <c r="E51" s="14" t="s">
        <v>35</v>
      </c>
      <c r="F51" s="14" t="s">
        <v>35</v>
      </c>
      <c r="G51" s="14" t="s">
        <v>35</v>
      </c>
      <c r="H51" s="13">
        <v>198</v>
      </c>
      <c r="I51" s="14">
        <v>470208.53687000001</v>
      </c>
      <c r="J51" s="14">
        <v>2813.2215500000002</v>
      </c>
      <c r="K51" s="14">
        <v>20.25</v>
      </c>
      <c r="L51" s="13" t="s">
        <v>35</v>
      </c>
      <c r="M51" s="14" t="s">
        <v>35</v>
      </c>
      <c r="N51" s="14" t="s">
        <v>35</v>
      </c>
      <c r="O51" s="14" t="s">
        <v>35</v>
      </c>
      <c r="P51" s="13">
        <v>23</v>
      </c>
      <c r="Q51" s="14">
        <v>54686.242330000001</v>
      </c>
      <c r="R51" s="14">
        <v>2243.7451099999998</v>
      </c>
      <c r="S51" s="14">
        <v>0</v>
      </c>
      <c r="T51" s="15">
        <f t="shared" si="5"/>
        <v>11.799999999999983</v>
      </c>
      <c r="AA51" s="15" t="str">
        <f t="shared" si="6"/>
        <v>-</v>
      </c>
      <c r="AB51" s="15"/>
      <c r="AC51" s="3"/>
      <c r="AD51" s="15"/>
      <c r="AE51" s="3"/>
      <c r="AF51" s="3"/>
      <c r="AG51" s="16"/>
      <c r="AH51" s="15" t="str">
        <f t="shared" si="7"/>
        <v>-</v>
      </c>
      <c r="AO51" s="15">
        <f t="shared" si="8"/>
        <v>1.4000000000000021</v>
      </c>
      <c r="AW51" s="3">
        <f t="shared" si="3"/>
        <v>2350000</v>
      </c>
      <c r="AX51" s="3" t="e">
        <f t="shared" si="4"/>
        <v>#VALUE!</v>
      </c>
    </row>
    <row r="52" spans="1:50" ht="17" thickBot="1" x14ac:dyDescent="0.25">
      <c r="A52" s="5" t="s">
        <v>25</v>
      </c>
      <c r="B52" s="12" t="s">
        <v>26</v>
      </c>
      <c r="C52" s="12" t="s">
        <v>78</v>
      </c>
      <c r="D52" s="13" t="s">
        <v>35</v>
      </c>
      <c r="E52" s="14" t="s">
        <v>35</v>
      </c>
      <c r="F52" s="14" t="s">
        <v>35</v>
      </c>
      <c r="G52" s="14" t="s">
        <v>35</v>
      </c>
      <c r="H52" s="13">
        <v>190</v>
      </c>
      <c r="I52" s="14">
        <v>460643.90914</v>
      </c>
      <c r="J52" s="14">
        <v>2809.6305499999999</v>
      </c>
      <c r="K52" s="14">
        <v>12.61</v>
      </c>
      <c r="L52" s="13" t="s">
        <v>35</v>
      </c>
      <c r="M52" s="14" t="s">
        <v>35</v>
      </c>
      <c r="N52" s="14" t="s">
        <v>35</v>
      </c>
      <c r="O52" s="14" t="s">
        <v>35</v>
      </c>
      <c r="P52" s="13">
        <v>27</v>
      </c>
      <c r="Q52" s="14">
        <v>65528.30214</v>
      </c>
      <c r="R52" s="14">
        <v>2572.0659999999998</v>
      </c>
      <c r="S52" s="14">
        <v>0</v>
      </c>
      <c r="T52" s="15">
        <f t="shared" si="5"/>
        <v>8.7999999999999829</v>
      </c>
      <c r="AA52" s="15" t="str">
        <f t="shared" si="6"/>
        <v>-</v>
      </c>
      <c r="AG52" s="16"/>
      <c r="AH52" s="15" t="str">
        <f t="shared" si="7"/>
        <v>-</v>
      </c>
      <c r="AO52" s="15">
        <f t="shared" si="8"/>
        <v>1</v>
      </c>
      <c r="AW52" s="3">
        <f t="shared" si="3"/>
        <v>2400000</v>
      </c>
      <c r="AX52" s="3" t="e">
        <f t="shared" si="4"/>
        <v>#VALUE!</v>
      </c>
    </row>
    <row r="53" spans="1:50" ht="17" thickBot="1" x14ac:dyDescent="0.25">
      <c r="A53" s="5" t="s">
        <v>25</v>
      </c>
      <c r="B53" s="12" t="s">
        <v>26</v>
      </c>
      <c r="C53" s="12" t="s">
        <v>79</v>
      </c>
      <c r="D53" s="13" t="s">
        <v>35</v>
      </c>
      <c r="E53" s="14" t="s">
        <v>35</v>
      </c>
      <c r="F53" s="14" t="s">
        <v>35</v>
      </c>
      <c r="G53" s="14" t="s">
        <v>35</v>
      </c>
      <c r="H53" s="13">
        <v>188</v>
      </c>
      <c r="I53" s="14">
        <v>465120.60272999998</v>
      </c>
      <c r="J53" s="14">
        <v>2781.4841000000001</v>
      </c>
      <c r="K53" s="14">
        <v>21.49</v>
      </c>
      <c r="L53" s="13" t="s">
        <v>35</v>
      </c>
      <c r="M53" s="14" t="s">
        <v>35</v>
      </c>
      <c r="N53" s="14" t="s">
        <v>35</v>
      </c>
      <c r="O53" s="14" t="s">
        <v>35</v>
      </c>
      <c r="P53" s="13">
        <v>25</v>
      </c>
      <c r="Q53" s="14">
        <v>61993.208129999999</v>
      </c>
      <c r="R53" s="14">
        <v>2933.56086</v>
      </c>
      <c r="S53" s="14">
        <v>0</v>
      </c>
      <c r="T53" s="15">
        <f t="shared" si="5"/>
        <v>-3.7999999999999829</v>
      </c>
      <c r="AA53" s="15" t="str">
        <f t="shared" si="6"/>
        <v>-</v>
      </c>
      <c r="AG53" s="16"/>
      <c r="AH53" s="15" t="str">
        <f t="shared" si="7"/>
        <v>-</v>
      </c>
      <c r="AO53" s="15">
        <f t="shared" si="8"/>
        <v>1.3999999999999986</v>
      </c>
      <c r="AW53" s="3">
        <f t="shared" si="3"/>
        <v>2450000</v>
      </c>
      <c r="AX53" s="3" t="e">
        <f t="shared" si="4"/>
        <v>#VALUE!</v>
      </c>
    </row>
    <row r="54" spans="1:50" ht="17" thickBot="1" x14ac:dyDescent="0.25">
      <c r="A54" s="5" t="s">
        <v>25</v>
      </c>
      <c r="B54" s="12" t="s">
        <v>26</v>
      </c>
      <c r="C54" s="12" t="s">
        <v>80</v>
      </c>
      <c r="D54" s="13" t="s">
        <v>35</v>
      </c>
      <c r="E54" s="14" t="s">
        <v>35</v>
      </c>
      <c r="F54" s="14" t="s">
        <v>35</v>
      </c>
      <c r="G54" s="14" t="s">
        <v>35</v>
      </c>
      <c r="H54" s="13">
        <v>259</v>
      </c>
      <c r="I54" s="14">
        <v>653811.89550999994</v>
      </c>
      <c r="J54" s="14">
        <v>3600.5426400000001</v>
      </c>
      <c r="K54" s="14">
        <v>28.33</v>
      </c>
      <c r="L54" s="13" t="s">
        <v>35</v>
      </c>
      <c r="M54" s="14" t="s">
        <v>35</v>
      </c>
      <c r="N54" s="14" t="s">
        <v>35</v>
      </c>
      <c r="O54" s="14" t="s">
        <v>35</v>
      </c>
      <c r="P54" s="13">
        <v>23</v>
      </c>
      <c r="Q54" s="14">
        <v>58157.219140000001</v>
      </c>
      <c r="R54" s="14">
        <v>2764.7041199999999</v>
      </c>
      <c r="S54" s="14">
        <v>0</v>
      </c>
      <c r="T54" s="15">
        <f t="shared" si="5"/>
        <v>10.800000000000011</v>
      </c>
      <c r="AA54" s="15" t="str">
        <f t="shared" si="6"/>
        <v>-</v>
      </c>
      <c r="AG54" s="16"/>
      <c r="AH54" s="15" t="str">
        <f t="shared" si="7"/>
        <v>-</v>
      </c>
      <c r="AO54" s="15">
        <f t="shared" si="8"/>
        <v>0.80000000000000071</v>
      </c>
      <c r="AW54" s="3">
        <f t="shared" si="3"/>
        <v>2500000</v>
      </c>
      <c r="AX54" s="3" t="e">
        <f t="shared" si="4"/>
        <v>#VALUE!</v>
      </c>
    </row>
    <row r="55" spans="1:50" ht="17" thickBot="1" x14ac:dyDescent="0.25">
      <c r="A55" s="5" t="s">
        <v>25</v>
      </c>
      <c r="B55" s="12" t="s">
        <v>26</v>
      </c>
      <c r="C55" s="12" t="s">
        <v>81</v>
      </c>
      <c r="D55" s="13" t="s">
        <v>35</v>
      </c>
      <c r="E55" s="14" t="s">
        <v>35</v>
      </c>
      <c r="F55" s="14" t="s">
        <v>35</v>
      </c>
      <c r="G55" s="14" t="s">
        <v>35</v>
      </c>
      <c r="H55" s="13">
        <v>215</v>
      </c>
      <c r="I55" s="14">
        <v>553877.36857000005</v>
      </c>
      <c r="J55" s="14">
        <v>3176.44427</v>
      </c>
      <c r="K55" s="14">
        <v>16.61</v>
      </c>
      <c r="L55" s="13" t="s">
        <v>35</v>
      </c>
      <c r="M55" s="14" t="s">
        <v>35</v>
      </c>
      <c r="N55" s="14" t="s">
        <v>35</v>
      </c>
      <c r="O55" s="14" t="s">
        <v>35</v>
      </c>
      <c r="P55" s="13">
        <v>20</v>
      </c>
      <c r="Q55" s="14">
        <v>51534.312440000002</v>
      </c>
      <c r="R55" s="14">
        <v>2616.0566699999999</v>
      </c>
      <c r="S55" s="14">
        <v>0</v>
      </c>
      <c r="T55" s="15">
        <f t="shared" si="5"/>
        <v>5.8000000000000114</v>
      </c>
      <c r="AA55" s="15" t="str">
        <f t="shared" si="6"/>
        <v>-</v>
      </c>
      <c r="AG55" s="16"/>
      <c r="AH55" s="15" t="str">
        <f t="shared" si="7"/>
        <v>-</v>
      </c>
      <c r="AO55" s="15">
        <f t="shared" si="8"/>
        <v>-0.79999999999999716</v>
      </c>
      <c r="AW55" s="3">
        <f t="shared" si="3"/>
        <v>2550000</v>
      </c>
      <c r="AX55" s="3" t="e">
        <f t="shared" si="4"/>
        <v>#VALUE!</v>
      </c>
    </row>
    <row r="56" spans="1:50" ht="17" thickBot="1" x14ac:dyDescent="0.25">
      <c r="A56" s="5" t="s">
        <v>25</v>
      </c>
      <c r="B56" s="12" t="s">
        <v>26</v>
      </c>
      <c r="C56" s="12" t="s">
        <v>82</v>
      </c>
      <c r="D56" s="13" t="s">
        <v>35</v>
      </c>
      <c r="E56" s="14" t="s">
        <v>35</v>
      </c>
      <c r="F56" s="14" t="s">
        <v>35</v>
      </c>
      <c r="G56" s="14" t="s">
        <v>35</v>
      </c>
      <c r="H56" s="13">
        <v>202</v>
      </c>
      <c r="I56" s="14">
        <v>530304.08848000003</v>
      </c>
      <c r="J56" s="14">
        <v>3209.5630999999998</v>
      </c>
      <c r="K56" s="14">
        <v>18.574999999999999</v>
      </c>
      <c r="L56" s="13" t="s">
        <v>35</v>
      </c>
      <c r="M56" s="14" t="s">
        <v>35</v>
      </c>
      <c r="N56" s="14" t="s">
        <v>35</v>
      </c>
      <c r="O56" s="14" t="s">
        <v>35</v>
      </c>
      <c r="P56" s="13">
        <v>26</v>
      </c>
      <c r="Q56" s="14">
        <v>67996.561530000006</v>
      </c>
      <c r="R56" s="14">
        <v>2979.2460500000002</v>
      </c>
      <c r="S56" s="14">
        <v>0</v>
      </c>
      <c r="T56" s="15">
        <f t="shared" si="5"/>
        <v>6.8000000000000114</v>
      </c>
      <c r="AA56" s="15" t="str">
        <f t="shared" si="6"/>
        <v>-</v>
      </c>
      <c r="AG56" s="16"/>
      <c r="AH56" s="15" t="str">
        <f t="shared" si="7"/>
        <v>-</v>
      </c>
      <c r="AO56" s="15">
        <f t="shared" si="8"/>
        <v>0</v>
      </c>
      <c r="AW56" s="3">
        <f t="shared" si="3"/>
        <v>2600000</v>
      </c>
      <c r="AX56" s="3" t="e">
        <f t="shared" si="4"/>
        <v>#VALUE!</v>
      </c>
    </row>
    <row r="57" spans="1:50" ht="17" thickBot="1" x14ac:dyDescent="0.25">
      <c r="A57" s="5" t="s">
        <v>25</v>
      </c>
      <c r="B57" s="12" t="s">
        <v>26</v>
      </c>
      <c r="C57" s="12" t="s">
        <v>83</v>
      </c>
      <c r="D57" s="13" t="s">
        <v>35</v>
      </c>
      <c r="E57" s="14" t="s">
        <v>35</v>
      </c>
      <c r="F57" s="14" t="s">
        <v>35</v>
      </c>
      <c r="G57" s="14" t="s">
        <v>35</v>
      </c>
      <c r="H57" s="13">
        <v>173</v>
      </c>
      <c r="I57" s="14">
        <v>462700.01419000002</v>
      </c>
      <c r="J57" s="14">
        <v>2613.1471499999998</v>
      </c>
      <c r="K57" s="14">
        <v>19.36</v>
      </c>
      <c r="L57" s="13" t="s">
        <v>35</v>
      </c>
      <c r="M57" s="14" t="s">
        <v>35</v>
      </c>
      <c r="N57" s="14" t="s">
        <v>35</v>
      </c>
      <c r="O57" s="14" t="s">
        <v>35</v>
      </c>
      <c r="P57" s="13">
        <v>26</v>
      </c>
      <c r="Q57" s="14">
        <v>69446.14129</v>
      </c>
      <c r="R57" s="14">
        <v>2948.6688300000001</v>
      </c>
      <c r="S57" s="14">
        <v>0</v>
      </c>
      <c r="T57" s="15">
        <f t="shared" si="5"/>
        <v>1.2000000000000171</v>
      </c>
      <c r="AA57" s="15" t="str">
        <f t="shared" si="6"/>
        <v>-</v>
      </c>
      <c r="AG57" s="16"/>
      <c r="AH57" s="15" t="str">
        <f t="shared" si="7"/>
        <v>-</v>
      </c>
      <c r="AO57" s="15">
        <f t="shared" si="8"/>
        <v>0.39999999999999858</v>
      </c>
      <c r="AW57" s="3">
        <f t="shared" si="3"/>
        <v>2650000</v>
      </c>
      <c r="AX57" s="3" t="e">
        <f t="shared" si="4"/>
        <v>#VALUE!</v>
      </c>
    </row>
    <row r="58" spans="1:50" ht="17" thickBot="1" x14ac:dyDescent="0.25">
      <c r="A58" s="5" t="s">
        <v>25</v>
      </c>
      <c r="B58" s="12" t="s">
        <v>26</v>
      </c>
      <c r="C58" s="12" t="s">
        <v>84</v>
      </c>
      <c r="D58" s="13" t="s">
        <v>35</v>
      </c>
      <c r="E58" s="14" t="s">
        <v>35</v>
      </c>
      <c r="F58" s="14" t="s">
        <v>35</v>
      </c>
      <c r="G58" s="14" t="s">
        <v>35</v>
      </c>
      <c r="H58" s="13">
        <v>209</v>
      </c>
      <c r="I58" s="14">
        <v>569732.58648000006</v>
      </c>
      <c r="J58" s="14">
        <v>2927.18028</v>
      </c>
      <c r="K58" s="14">
        <v>15.36</v>
      </c>
      <c r="L58" s="13" t="s">
        <v>35</v>
      </c>
      <c r="M58" s="14" t="s">
        <v>35</v>
      </c>
      <c r="N58" s="14" t="s">
        <v>35</v>
      </c>
      <c r="O58" s="14" t="s">
        <v>35</v>
      </c>
      <c r="P58" s="13">
        <v>20</v>
      </c>
      <c r="Q58" s="14">
        <v>54439.608780000002</v>
      </c>
      <c r="R58" s="14">
        <v>2389.0320299999998</v>
      </c>
      <c r="S58" s="14">
        <v>0</v>
      </c>
      <c r="T58" s="15">
        <f t="shared" si="5"/>
        <v>6.4000000000000057</v>
      </c>
      <c r="AA58" s="15" t="str">
        <f t="shared" si="6"/>
        <v>-</v>
      </c>
      <c r="AG58" s="16"/>
      <c r="AH58" s="15" t="str">
        <f t="shared" si="7"/>
        <v>-</v>
      </c>
      <c r="AO58" s="15">
        <f t="shared" si="8"/>
        <v>-1.6000000000000014</v>
      </c>
      <c r="AW58" s="3">
        <f t="shared" si="3"/>
        <v>2700000</v>
      </c>
      <c r="AX58" s="3" t="e">
        <f t="shared" si="4"/>
        <v>#VALUE!</v>
      </c>
    </row>
    <row r="59" spans="1:50" ht="17" thickBot="1" x14ac:dyDescent="0.25">
      <c r="A59" s="5" t="s">
        <v>25</v>
      </c>
      <c r="B59" s="12" t="s">
        <v>26</v>
      </c>
      <c r="C59" s="12" t="s">
        <v>85</v>
      </c>
      <c r="D59" s="13" t="s">
        <v>35</v>
      </c>
      <c r="E59" s="14" t="s">
        <v>35</v>
      </c>
      <c r="F59" s="14" t="s">
        <v>35</v>
      </c>
      <c r="G59" s="14" t="s">
        <v>35</v>
      </c>
      <c r="H59" s="13">
        <v>219</v>
      </c>
      <c r="I59" s="14">
        <v>607565.77821000002</v>
      </c>
      <c r="J59" s="14">
        <v>2898.32789</v>
      </c>
      <c r="K59" s="14">
        <v>28.59</v>
      </c>
      <c r="L59" s="13" t="s">
        <v>35</v>
      </c>
      <c r="M59" s="14" t="s">
        <v>35</v>
      </c>
      <c r="N59" s="14" t="s">
        <v>35</v>
      </c>
      <c r="O59" s="14" t="s">
        <v>35</v>
      </c>
      <c r="P59" s="13">
        <v>25</v>
      </c>
      <c r="Q59" s="14">
        <v>69331.503549999994</v>
      </c>
      <c r="R59" s="14">
        <v>3466.2967199999998</v>
      </c>
      <c r="S59" s="14">
        <v>0</v>
      </c>
      <c r="T59" s="15">
        <f t="shared" si="5"/>
        <v>3.1999999999999886</v>
      </c>
      <c r="AA59" s="15" t="str">
        <f t="shared" si="6"/>
        <v>-</v>
      </c>
      <c r="AG59" s="16"/>
      <c r="AH59" s="15" t="str">
        <f t="shared" si="7"/>
        <v>-</v>
      </c>
      <c r="AO59" s="15">
        <f t="shared" si="8"/>
        <v>-2</v>
      </c>
      <c r="AW59" s="3">
        <f t="shared" si="3"/>
        <v>2750000</v>
      </c>
      <c r="AX59" s="3" t="e">
        <f t="shared" si="4"/>
        <v>#VALUE!</v>
      </c>
    </row>
    <row r="60" spans="1:50" ht="17" thickBot="1" x14ac:dyDescent="0.25">
      <c r="A60" s="5" t="s">
        <v>25</v>
      </c>
      <c r="B60" s="12" t="s">
        <v>26</v>
      </c>
      <c r="C60" s="12" t="s">
        <v>86</v>
      </c>
      <c r="D60" s="13" t="s">
        <v>35</v>
      </c>
      <c r="E60" s="14" t="s">
        <v>35</v>
      </c>
      <c r="F60" s="14" t="s">
        <v>35</v>
      </c>
      <c r="G60" s="14" t="s">
        <v>35</v>
      </c>
      <c r="H60" s="13">
        <v>218</v>
      </c>
      <c r="I60" s="14">
        <v>616114.34495000006</v>
      </c>
      <c r="J60" s="14">
        <v>2974.3740200000002</v>
      </c>
      <c r="K60" s="14">
        <v>19.98</v>
      </c>
      <c r="L60" s="13">
        <v>1</v>
      </c>
      <c r="M60" s="14">
        <v>2821.1765</v>
      </c>
      <c r="N60" s="14">
        <v>82.052189999999996</v>
      </c>
      <c r="O60" s="14">
        <v>0</v>
      </c>
      <c r="P60" s="13">
        <v>25</v>
      </c>
      <c r="Q60" s="14">
        <v>70594.888999999996</v>
      </c>
      <c r="R60" s="14">
        <v>3294.09728</v>
      </c>
      <c r="S60" s="14">
        <v>0</v>
      </c>
      <c r="T60" s="15">
        <f t="shared" si="5"/>
        <v>11.599999999999994</v>
      </c>
      <c r="AA60" s="15" t="str">
        <f t="shared" si="6"/>
        <v>-</v>
      </c>
      <c r="AG60" s="16"/>
      <c r="AH60" s="15" t="str">
        <f t="shared" si="7"/>
        <v>-</v>
      </c>
      <c r="AO60" s="15">
        <f t="shared" si="8"/>
        <v>-0.60000000000000142</v>
      </c>
      <c r="AW60" s="3">
        <f t="shared" si="3"/>
        <v>2800000</v>
      </c>
      <c r="AX60" s="3" t="e">
        <f t="shared" si="4"/>
        <v>#VALUE!</v>
      </c>
    </row>
    <row r="61" spans="1:50" ht="17" thickBot="1" x14ac:dyDescent="0.25">
      <c r="A61" s="5" t="s">
        <v>25</v>
      </c>
      <c r="B61" s="12" t="s">
        <v>26</v>
      </c>
      <c r="C61" s="12" t="s">
        <v>87</v>
      </c>
      <c r="D61" s="13" t="s">
        <v>35</v>
      </c>
      <c r="E61" s="14" t="s">
        <v>35</v>
      </c>
      <c r="F61" s="14" t="s">
        <v>35</v>
      </c>
      <c r="G61" s="14" t="s">
        <v>35</v>
      </c>
      <c r="H61" s="13">
        <v>201</v>
      </c>
      <c r="I61" s="14">
        <v>578026.13335999998</v>
      </c>
      <c r="J61" s="14">
        <v>2766.8687300000001</v>
      </c>
      <c r="K61" s="14">
        <v>18.2</v>
      </c>
      <c r="L61" s="13" t="s">
        <v>35</v>
      </c>
      <c r="M61" s="14" t="s">
        <v>35</v>
      </c>
      <c r="N61" s="14" t="s">
        <v>35</v>
      </c>
      <c r="O61" s="14" t="s">
        <v>35</v>
      </c>
      <c r="P61" s="13">
        <v>25</v>
      </c>
      <c r="Q61" s="14">
        <v>71863.426869999996</v>
      </c>
      <c r="R61" s="14">
        <v>2993.4168399999999</v>
      </c>
      <c r="S61" s="14">
        <v>0</v>
      </c>
      <c r="T61" s="15">
        <f t="shared" si="5"/>
        <v>12</v>
      </c>
      <c r="AA61" s="15" t="str">
        <f t="shared" si="6"/>
        <v>-</v>
      </c>
      <c r="AG61" s="16"/>
      <c r="AH61" s="15" t="str">
        <f t="shared" si="7"/>
        <v>-</v>
      </c>
      <c r="AO61" s="15">
        <f t="shared" si="8"/>
        <v>2</v>
      </c>
      <c r="AW61" s="3">
        <f t="shared" si="3"/>
        <v>2850000</v>
      </c>
      <c r="AX61" s="3" t="e">
        <f t="shared" si="4"/>
        <v>#VALUE!</v>
      </c>
    </row>
    <row r="62" spans="1:50" ht="17" thickBot="1" x14ac:dyDescent="0.25">
      <c r="A62" s="5" t="s">
        <v>25</v>
      </c>
      <c r="B62" s="12" t="s">
        <v>26</v>
      </c>
      <c r="C62" s="12" t="s">
        <v>88</v>
      </c>
      <c r="D62" s="13" t="s">
        <v>35</v>
      </c>
      <c r="E62" s="14" t="s">
        <v>35</v>
      </c>
      <c r="F62" s="14" t="s">
        <v>35</v>
      </c>
      <c r="G62" s="14" t="s">
        <v>35</v>
      </c>
      <c r="H62" s="13">
        <v>184</v>
      </c>
      <c r="I62" s="14">
        <v>537941.42498000001</v>
      </c>
      <c r="J62" s="14">
        <v>2599.3415500000001</v>
      </c>
      <c r="K62" s="14">
        <v>21.31</v>
      </c>
      <c r="L62" s="13" t="s">
        <v>35</v>
      </c>
      <c r="M62" s="14" t="s">
        <v>35</v>
      </c>
      <c r="N62" s="14" t="s">
        <v>35</v>
      </c>
      <c r="O62" s="14" t="s">
        <v>35</v>
      </c>
      <c r="P62" s="13">
        <v>23</v>
      </c>
      <c r="Q62" s="14">
        <v>67299.921090000003</v>
      </c>
      <c r="R62" s="14">
        <v>2835.3717099999999</v>
      </c>
      <c r="S62" s="14">
        <v>0</v>
      </c>
      <c r="T62" s="15">
        <f t="shared" si="5"/>
        <v>18.599999999999994</v>
      </c>
      <c r="AA62" s="15" t="str">
        <f t="shared" si="6"/>
        <v>-</v>
      </c>
      <c r="AG62" s="16"/>
      <c r="AH62" s="15" t="str">
        <f t="shared" si="7"/>
        <v>-</v>
      </c>
      <c r="AO62" s="15">
        <f t="shared" si="8"/>
        <v>1.8000000000000007</v>
      </c>
      <c r="AW62" s="3">
        <f t="shared" si="3"/>
        <v>2900000</v>
      </c>
      <c r="AX62" s="3" t="e">
        <f t="shared" si="4"/>
        <v>#VALUE!</v>
      </c>
    </row>
    <row r="63" spans="1:50" ht="17" thickBot="1" x14ac:dyDescent="0.25">
      <c r="A63" s="5" t="s">
        <v>25</v>
      </c>
      <c r="B63" s="12" t="s">
        <v>26</v>
      </c>
      <c r="C63" s="12" t="s">
        <v>89</v>
      </c>
      <c r="D63" s="13" t="s">
        <v>35</v>
      </c>
      <c r="E63" s="14" t="s">
        <v>35</v>
      </c>
      <c r="F63" s="14" t="s">
        <v>35</v>
      </c>
      <c r="G63" s="14" t="s">
        <v>35</v>
      </c>
      <c r="H63" s="13">
        <v>204</v>
      </c>
      <c r="I63" s="14">
        <v>606676.60514</v>
      </c>
      <c r="J63" s="14">
        <v>3287.33277</v>
      </c>
      <c r="K63" s="14">
        <v>25.96</v>
      </c>
      <c r="L63" s="13" t="s">
        <v>35</v>
      </c>
      <c r="M63" s="14" t="s">
        <v>35</v>
      </c>
      <c r="N63" s="14" t="s">
        <v>35</v>
      </c>
      <c r="O63" s="14" t="s">
        <v>35</v>
      </c>
      <c r="P63" s="13">
        <v>25</v>
      </c>
      <c r="Q63" s="14">
        <v>74372.02579</v>
      </c>
      <c r="R63" s="14">
        <v>2495.3136</v>
      </c>
      <c r="S63" s="14">
        <v>0</v>
      </c>
      <c r="T63" s="15">
        <f t="shared" si="5"/>
        <v>25.599999999999994</v>
      </c>
      <c r="AA63" s="15" t="str">
        <f t="shared" si="6"/>
        <v>-</v>
      </c>
      <c r="AG63" s="16"/>
      <c r="AH63" s="15">
        <f t="shared" si="7"/>
        <v>0</v>
      </c>
      <c r="AO63" s="15">
        <f t="shared" si="8"/>
        <v>2.6000000000000014</v>
      </c>
      <c r="AW63" s="3">
        <f t="shared" si="3"/>
        <v>2950000</v>
      </c>
      <c r="AX63" s="3" t="e">
        <f t="shared" si="4"/>
        <v>#VALUE!</v>
      </c>
    </row>
    <row r="64" spans="1:50" ht="17" thickBot="1" x14ac:dyDescent="0.25">
      <c r="A64" s="5" t="s">
        <v>25</v>
      </c>
      <c r="B64" s="12" t="s">
        <v>26</v>
      </c>
      <c r="C64" s="12" t="s">
        <v>90</v>
      </c>
      <c r="D64" s="13" t="s">
        <v>35</v>
      </c>
      <c r="E64" s="14" t="s">
        <v>35</v>
      </c>
      <c r="F64" s="14" t="s">
        <v>35</v>
      </c>
      <c r="G64" s="14" t="s">
        <v>35</v>
      </c>
      <c r="H64" s="13">
        <v>195</v>
      </c>
      <c r="I64" s="14">
        <v>589816.18651999999</v>
      </c>
      <c r="J64" s="14">
        <v>2751.2584299999999</v>
      </c>
      <c r="K64" s="14">
        <v>28.765000000000001</v>
      </c>
      <c r="L64" s="13" t="s">
        <v>35</v>
      </c>
      <c r="M64" s="14" t="s">
        <v>35</v>
      </c>
      <c r="N64" s="14" t="s">
        <v>35</v>
      </c>
      <c r="O64" s="14" t="s">
        <v>35</v>
      </c>
      <c r="P64" s="13">
        <v>29</v>
      </c>
      <c r="Q64" s="14">
        <v>87798.038820000002</v>
      </c>
      <c r="R64" s="14">
        <v>3812.32996</v>
      </c>
      <c r="S64" s="14">
        <v>0</v>
      </c>
      <c r="T64" s="15">
        <f t="shared" si="5"/>
        <v>23.599999999999994</v>
      </c>
      <c r="AA64" s="15" t="str">
        <f t="shared" si="6"/>
        <v>-</v>
      </c>
      <c r="AG64" s="16"/>
      <c r="AH64" s="15">
        <f t="shared" si="7"/>
        <v>0</v>
      </c>
      <c r="AO64" s="15">
        <f t="shared" si="8"/>
        <v>6.1999999999999993</v>
      </c>
      <c r="AW64" s="3">
        <f t="shared" si="3"/>
        <v>3000000</v>
      </c>
      <c r="AX64" s="3" t="e">
        <f t="shared" si="4"/>
        <v>#VALUE!</v>
      </c>
    </row>
    <row r="65" spans="1:50" ht="17" thickBot="1" x14ac:dyDescent="0.25">
      <c r="A65" s="5" t="s">
        <v>25</v>
      </c>
      <c r="B65" s="12" t="s">
        <v>26</v>
      </c>
      <c r="C65" s="12" t="s">
        <v>91</v>
      </c>
      <c r="D65" s="13" t="s">
        <v>35</v>
      </c>
      <c r="E65" s="14" t="s">
        <v>35</v>
      </c>
      <c r="F65" s="14" t="s">
        <v>35</v>
      </c>
      <c r="G65" s="14" t="s">
        <v>35</v>
      </c>
      <c r="H65" s="13">
        <v>179</v>
      </c>
      <c r="I65" s="14">
        <v>550261.69013999996</v>
      </c>
      <c r="J65" s="14">
        <v>2420.4925800000001</v>
      </c>
      <c r="K65" s="14">
        <v>14.21</v>
      </c>
      <c r="L65" s="13" t="s">
        <v>35</v>
      </c>
      <c r="M65" s="14" t="s">
        <v>35</v>
      </c>
      <c r="N65" s="14" t="s">
        <v>35</v>
      </c>
      <c r="O65" s="14" t="s">
        <v>35</v>
      </c>
      <c r="P65" s="13">
        <v>23</v>
      </c>
      <c r="Q65" s="14">
        <v>70815.847609999997</v>
      </c>
      <c r="R65" s="14">
        <v>2904.0445100000002</v>
      </c>
      <c r="S65" s="14">
        <v>0</v>
      </c>
      <c r="T65" s="15">
        <f t="shared" si="5"/>
        <v>14.199999999999989</v>
      </c>
      <c r="AA65" s="15" t="str">
        <f t="shared" si="6"/>
        <v>-</v>
      </c>
      <c r="AG65" s="16"/>
      <c r="AH65" s="15" t="str">
        <f t="shared" si="7"/>
        <v>-</v>
      </c>
      <c r="AO65" s="15">
        <f t="shared" si="8"/>
        <v>7.1999999999999993</v>
      </c>
      <c r="AW65" s="3">
        <f t="shared" si="3"/>
        <v>3050000</v>
      </c>
      <c r="AX65" s="3" t="e">
        <f t="shared" si="4"/>
        <v>#VALUE!</v>
      </c>
    </row>
    <row r="66" spans="1:50" ht="17" thickBot="1" x14ac:dyDescent="0.25">
      <c r="A66" s="5" t="s">
        <v>25</v>
      </c>
      <c r="B66" s="12" t="s">
        <v>26</v>
      </c>
      <c r="C66" s="12" t="s">
        <v>92</v>
      </c>
      <c r="D66" s="13" t="s">
        <v>35</v>
      </c>
      <c r="E66" s="14" t="s">
        <v>35</v>
      </c>
      <c r="F66" s="14" t="s">
        <v>35</v>
      </c>
      <c r="G66" s="14" t="s">
        <v>35</v>
      </c>
      <c r="H66" s="13">
        <v>198</v>
      </c>
      <c r="I66" s="14">
        <v>618706.02023000002</v>
      </c>
      <c r="J66" s="14">
        <v>2897.7976800000001</v>
      </c>
      <c r="K66" s="14">
        <v>18.2</v>
      </c>
      <c r="L66" s="13" t="s">
        <v>35</v>
      </c>
      <c r="M66" s="14" t="s">
        <v>35</v>
      </c>
      <c r="N66" s="14" t="s">
        <v>35</v>
      </c>
      <c r="O66" s="14" t="s">
        <v>35</v>
      </c>
      <c r="P66" s="13">
        <v>11</v>
      </c>
      <c r="Q66" s="14">
        <v>34378.872139999999</v>
      </c>
      <c r="R66" s="14">
        <v>1471.42659</v>
      </c>
      <c r="S66" s="14">
        <v>0</v>
      </c>
      <c r="T66" s="15">
        <f t="shared" si="5"/>
        <v>16.400000000000006</v>
      </c>
      <c r="AA66" s="15" t="str">
        <f t="shared" si="6"/>
        <v>-</v>
      </c>
      <c r="AG66" s="16"/>
      <c r="AH66" s="15" t="str">
        <f t="shared" si="7"/>
        <v>-</v>
      </c>
      <c r="AO66" s="15">
        <f t="shared" si="8"/>
        <v>1.5999999999999979</v>
      </c>
      <c r="AW66" s="3">
        <f t="shared" si="3"/>
        <v>3100000</v>
      </c>
      <c r="AX66" s="3" t="e">
        <f t="shared" si="4"/>
        <v>#VALUE!</v>
      </c>
    </row>
    <row r="67" spans="1:50" ht="17" thickBot="1" x14ac:dyDescent="0.25">
      <c r="A67" s="5" t="s">
        <v>25</v>
      </c>
      <c r="B67" s="12" t="s">
        <v>26</v>
      </c>
      <c r="C67" s="12" t="s">
        <v>93</v>
      </c>
      <c r="D67" s="13" t="s">
        <v>35</v>
      </c>
      <c r="E67" s="14" t="s">
        <v>35</v>
      </c>
      <c r="F67" s="14" t="s">
        <v>35</v>
      </c>
      <c r="G67" s="14" t="s">
        <v>35</v>
      </c>
      <c r="H67" s="13">
        <v>162</v>
      </c>
      <c r="I67" s="14">
        <v>514264.02084000001</v>
      </c>
      <c r="J67" s="14">
        <v>2341.0040100000001</v>
      </c>
      <c r="K67" s="14">
        <v>15.45</v>
      </c>
      <c r="L67" s="13" t="s">
        <v>35</v>
      </c>
      <c r="M67" s="14" t="s">
        <v>35</v>
      </c>
      <c r="N67" s="14" t="s">
        <v>35</v>
      </c>
      <c r="O67" s="14" t="s">
        <v>35</v>
      </c>
      <c r="P67" s="13">
        <v>21</v>
      </c>
      <c r="Q67" s="14">
        <v>66578.883579999994</v>
      </c>
      <c r="R67" s="14">
        <v>3020.97336</v>
      </c>
      <c r="S67" s="14">
        <v>0</v>
      </c>
      <c r="T67" s="15">
        <f t="shared" si="5"/>
        <v>11.799999999999983</v>
      </c>
      <c r="AA67" s="15" t="str">
        <f t="shared" si="6"/>
        <v>-</v>
      </c>
      <c r="AG67" s="16"/>
      <c r="AH67" s="15" t="str">
        <f t="shared" si="7"/>
        <v>-</v>
      </c>
      <c r="AO67" s="15">
        <f t="shared" si="8"/>
        <v>1</v>
      </c>
      <c r="AW67" s="3">
        <f t="shared" si="3"/>
        <v>3150000</v>
      </c>
      <c r="AX67" s="3" t="e">
        <f t="shared" si="4"/>
        <v>#VALUE!</v>
      </c>
    </row>
    <row r="68" spans="1:50" ht="17" thickBot="1" x14ac:dyDescent="0.25">
      <c r="A68" s="5" t="s">
        <v>25</v>
      </c>
      <c r="B68" s="12" t="s">
        <v>26</v>
      </c>
      <c r="C68" s="12" t="s">
        <v>94</v>
      </c>
      <c r="D68" s="13" t="s">
        <v>35</v>
      </c>
      <c r="E68" s="14" t="s">
        <v>35</v>
      </c>
      <c r="F68" s="14" t="s">
        <v>35</v>
      </c>
      <c r="G68" s="14" t="s">
        <v>35</v>
      </c>
      <c r="H68" s="13">
        <v>164</v>
      </c>
      <c r="I68" s="14">
        <v>528527.85438000003</v>
      </c>
      <c r="J68" s="14">
        <v>2350.2330900000002</v>
      </c>
      <c r="K68" s="14">
        <v>20.77</v>
      </c>
      <c r="L68" s="13">
        <v>1</v>
      </c>
      <c r="M68" s="14">
        <v>3224.34375</v>
      </c>
      <c r="N68" s="14">
        <v>90.017809999999997</v>
      </c>
      <c r="O68" s="14">
        <v>0</v>
      </c>
      <c r="P68" s="13">
        <v>26</v>
      </c>
      <c r="Q68" s="14">
        <v>83961.926479999995</v>
      </c>
      <c r="R68" s="14">
        <v>3386.1496499999998</v>
      </c>
      <c r="S68" s="14">
        <v>0</v>
      </c>
      <c r="T68" s="15">
        <f t="shared" si="5"/>
        <v>1.7999999999999829</v>
      </c>
      <c r="AA68" s="15" t="str">
        <f t="shared" si="6"/>
        <v>-</v>
      </c>
      <c r="AG68" s="16"/>
      <c r="AH68" s="15" t="str">
        <f t="shared" si="7"/>
        <v>-</v>
      </c>
      <c r="AO68" s="15">
        <f t="shared" si="8"/>
        <v>2.3999999999999986</v>
      </c>
      <c r="AW68" s="3">
        <f t="shared" si="3"/>
        <v>3200000</v>
      </c>
      <c r="AX68" s="3" t="e">
        <f t="shared" si="4"/>
        <v>#VALUE!</v>
      </c>
    </row>
    <row r="69" spans="1:50" ht="17" thickBot="1" x14ac:dyDescent="0.25">
      <c r="A69" s="5" t="s">
        <v>25</v>
      </c>
      <c r="B69" s="12" t="s">
        <v>26</v>
      </c>
      <c r="C69" s="12" t="s">
        <v>95</v>
      </c>
      <c r="D69" s="13" t="s">
        <v>35</v>
      </c>
      <c r="E69" s="14" t="s">
        <v>35</v>
      </c>
      <c r="F69" s="14" t="s">
        <v>35</v>
      </c>
      <c r="G69" s="14" t="s">
        <v>35</v>
      </c>
      <c r="H69" s="13">
        <v>181</v>
      </c>
      <c r="I69" s="14">
        <v>592950.37023</v>
      </c>
      <c r="J69" s="14">
        <v>2498.5425700000001</v>
      </c>
      <c r="K69" s="14">
        <v>26.458639999999999</v>
      </c>
      <c r="L69" s="13" t="s">
        <v>35</v>
      </c>
      <c r="M69" s="14" t="s">
        <v>35</v>
      </c>
      <c r="N69" s="14" t="s">
        <v>35</v>
      </c>
      <c r="O69" s="14" t="s">
        <v>35</v>
      </c>
      <c r="P69" s="13">
        <v>15</v>
      </c>
      <c r="Q69" s="14">
        <v>49102.645989999997</v>
      </c>
      <c r="R69" s="14">
        <v>1883.52701</v>
      </c>
      <c r="S69" s="14">
        <v>0</v>
      </c>
      <c r="T69" s="15">
        <f t="shared" si="5"/>
        <v>-0.79999999999998295</v>
      </c>
      <c r="AA69" s="15" t="str">
        <f t="shared" si="6"/>
        <v>-</v>
      </c>
      <c r="AG69" s="16"/>
      <c r="AH69" s="15" t="str">
        <f t="shared" si="7"/>
        <v>-</v>
      </c>
      <c r="AO69" s="15">
        <f t="shared" si="8"/>
        <v>-2.6000000000000014</v>
      </c>
      <c r="AW69" s="3">
        <f t="shared" ref="AW69:AW132" si="18">--MID(C69,FIND("від",C69)+4,FIND("грн",C69,FIND("від",C69))-FIND("від",C69)-4)</f>
        <v>3250000</v>
      </c>
      <c r="AX69" s="3" t="e">
        <f t="shared" ref="AX69:AX132" si="19">--MID(C69,FIND("до",C69)+3,FIND("грн",C69,FIND("до",C69))-FIND("до",C69)-3)</f>
        <v>#VALUE!</v>
      </c>
    </row>
    <row r="70" spans="1:50" ht="17" thickBot="1" x14ac:dyDescent="0.25">
      <c r="A70" s="5" t="s">
        <v>25</v>
      </c>
      <c r="B70" s="12" t="s">
        <v>26</v>
      </c>
      <c r="C70" s="12" t="s">
        <v>96</v>
      </c>
      <c r="D70" s="13" t="s">
        <v>35</v>
      </c>
      <c r="E70" s="14" t="s">
        <v>35</v>
      </c>
      <c r="F70" s="14" t="s">
        <v>35</v>
      </c>
      <c r="G70" s="14" t="s">
        <v>35</v>
      </c>
      <c r="H70" s="13">
        <v>187</v>
      </c>
      <c r="I70" s="14">
        <v>621910.09372999996</v>
      </c>
      <c r="J70" s="14">
        <v>2689.4121300000002</v>
      </c>
      <c r="K70" s="14">
        <v>23.08</v>
      </c>
      <c r="L70" s="13" t="s">
        <v>35</v>
      </c>
      <c r="M70" s="14" t="s">
        <v>35</v>
      </c>
      <c r="N70" s="14" t="s">
        <v>35</v>
      </c>
      <c r="O70" s="14" t="s">
        <v>35</v>
      </c>
      <c r="P70" s="13">
        <v>16</v>
      </c>
      <c r="Q70" s="14">
        <v>53203.744960000004</v>
      </c>
      <c r="R70" s="14">
        <v>1960.1778999999999</v>
      </c>
      <c r="S70" s="14">
        <v>0</v>
      </c>
      <c r="T70" s="15">
        <f t="shared" si="5"/>
        <v>8</v>
      </c>
      <c r="AA70" s="15" t="str">
        <f t="shared" si="6"/>
        <v>-</v>
      </c>
      <c r="AG70" s="16"/>
      <c r="AH70" s="15" t="str">
        <f t="shared" si="7"/>
        <v>-</v>
      </c>
      <c r="AO70" s="15">
        <f t="shared" si="8"/>
        <v>-3.8000000000000007</v>
      </c>
      <c r="AW70" s="3">
        <f t="shared" si="18"/>
        <v>3300000</v>
      </c>
      <c r="AX70" s="3" t="e">
        <f t="shared" si="19"/>
        <v>#VALUE!</v>
      </c>
    </row>
    <row r="71" spans="1:50" ht="17" thickBot="1" x14ac:dyDescent="0.25">
      <c r="A71" s="5" t="s">
        <v>25</v>
      </c>
      <c r="B71" s="12" t="s">
        <v>26</v>
      </c>
      <c r="C71" s="12" t="s">
        <v>97</v>
      </c>
      <c r="D71" s="13" t="s">
        <v>35</v>
      </c>
      <c r="E71" s="14" t="s">
        <v>35</v>
      </c>
      <c r="F71" s="14" t="s">
        <v>35</v>
      </c>
      <c r="G71" s="14" t="s">
        <v>35</v>
      </c>
      <c r="H71" s="13">
        <v>184</v>
      </c>
      <c r="I71" s="14">
        <v>621060.36494</v>
      </c>
      <c r="J71" s="14">
        <v>2566.57377</v>
      </c>
      <c r="K71" s="14">
        <v>18.11</v>
      </c>
      <c r="L71" s="13" t="s">
        <v>35</v>
      </c>
      <c r="M71" s="14" t="s">
        <v>35</v>
      </c>
      <c r="N71" s="14" t="s">
        <v>35</v>
      </c>
      <c r="O71" s="14" t="s">
        <v>35</v>
      </c>
      <c r="P71" s="13">
        <v>25</v>
      </c>
      <c r="Q71" s="14">
        <v>84396.879889999997</v>
      </c>
      <c r="R71" s="14">
        <v>3143.53649</v>
      </c>
      <c r="S71" s="14">
        <v>0.71</v>
      </c>
      <c r="T71" s="15">
        <f t="shared" si="5"/>
        <v>9.7999999999999829</v>
      </c>
      <c r="AA71" s="15" t="str">
        <f t="shared" si="6"/>
        <v>-</v>
      </c>
      <c r="AG71" s="16"/>
      <c r="AH71" s="15" t="str">
        <f t="shared" si="7"/>
        <v>-</v>
      </c>
      <c r="AO71" s="15">
        <f t="shared" si="8"/>
        <v>0.60000000000000142</v>
      </c>
      <c r="AW71" s="3">
        <f t="shared" si="18"/>
        <v>3350000</v>
      </c>
      <c r="AX71" s="3" t="e">
        <f t="shared" si="19"/>
        <v>#VALUE!</v>
      </c>
    </row>
    <row r="72" spans="1:50" ht="17" thickBot="1" x14ac:dyDescent="0.25">
      <c r="A72" s="5" t="s">
        <v>25</v>
      </c>
      <c r="B72" s="12" t="s">
        <v>26</v>
      </c>
      <c r="C72" s="12" t="s">
        <v>98</v>
      </c>
      <c r="D72" s="13" t="s">
        <v>35</v>
      </c>
      <c r="E72" s="14" t="s">
        <v>35</v>
      </c>
      <c r="F72" s="14" t="s">
        <v>35</v>
      </c>
      <c r="G72" s="14" t="s">
        <v>35</v>
      </c>
      <c r="H72" s="13">
        <v>163</v>
      </c>
      <c r="I72" s="14">
        <v>558243.16356999998</v>
      </c>
      <c r="J72" s="14">
        <v>2564.6437799999999</v>
      </c>
      <c r="K72" s="14">
        <v>19.27</v>
      </c>
      <c r="L72" s="13" t="s">
        <v>35</v>
      </c>
      <c r="M72" s="14" t="s">
        <v>35</v>
      </c>
      <c r="N72" s="14" t="s">
        <v>35</v>
      </c>
      <c r="O72" s="14" t="s">
        <v>35</v>
      </c>
      <c r="P72" s="13">
        <v>22</v>
      </c>
      <c r="Q72" s="14">
        <v>75387.532579999999</v>
      </c>
      <c r="R72" s="14">
        <v>2801.4331400000001</v>
      </c>
      <c r="S72" s="14">
        <v>0</v>
      </c>
      <c r="T72" s="15">
        <f t="shared" si="5"/>
        <v>7</v>
      </c>
      <c r="AA72" s="15" t="str">
        <f t="shared" si="6"/>
        <v>-</v>
      </c>
      <c r="AG72" s="16"/>
      <c r="AH72" s="15" t="str">
        <f t="shared" si="7"/>
        <v>-</v>
      </c>
      <c r="AO72" s="15">
        <f t="shared" si="8"/>
        <v>2</v>
      </c>
      <c r="AW72" s="3">
        <f t="shared" si="18"/>
        <v>3400000</v>
      </c>
      <c r="AX72" s="3" t="e">
        <f t="shared" si="19"/>
        <v>#VALUE!</v>
      </c>
    </row>
    <row r="73" spans="1:50" ht="17" thickBot="1" x14ac:dyDescent="0.25">
      <c r="A73" s="5" t="s">
        <v>25</v>
      </c>
      <c r="B73" s="12" t="s">
        <v>26</v>
      </c>
      <c r="C73" s="12" t="s">
        <v>99</v>
      </c>
      <c r="D73" s="13" t="s">
        <v>35</v>
      </c>
      <c r="E73" s="14" t="s">
        <v>35</v>
      </c>
      <c r="F73" s="14" t="s">
        <v>35</v>
      </c>
      <c r="G73" s="14" t="s">
        <v>35</v>
      </c>
      <c r="H73" s="13">
        <v>174</v>
      </c>
      <c r="I73" s="14">
        <v>604570.26121000003</v>
      </c>
      <c r="J73" s="14">
        <v>2547.2009200000002</v>
      </c>
      <c r="K73" s="14">
        <v>18.993359999999999</v>
      </c>
      <c r="L73" s="13" t="s">
        <v>35</v>
      </c>
      <c r="M73" s="14" t="s">
        <v>35</v>
      </c>
      <c r="N73" s="14" t="s">
        <v>35</v>
      </c>
      <c r="O73" s="14" t="s">
        <v>35</v>
      </c>
      <c r="P73" s="13">
        <v>20</v>
      </c>
      <c r="Q73" s="14">
        <v>69434.706460000001</v>
      </c>
      <c r="R73" s="14">
        <v>3052.0543299999999</v>
      </c>
      <c r="S73" s="14">
        <v>0</v>
      </c>
      <c r="T73" s="15">
        <f t="shared" si="5"/>
        <v>7</v>
      </c>
      <c r="AA73" s="15" t="str">
        <f t="shared" si="6"/>
        <v>-</v>
      </c>
      <c r="AG73" s="16"/>
      <c r="AH73" s="15" t="str">
        <f t="shared" si="7"/>
        <v>-</v>
      </c>
      <c r="AO73" s="15">
        <f t="shared" si="8"/>
        <v>0.80000000000000071</v>
      </c>
      <c r="AW73" s="3">
        <f t="shared" si="18"/>
        <v>3450000</v>
      </c>
      <c r="AX73" s="3" t="e">
        <f t="shared" si="19"/>
        <v>#VALUE!</v>
      </c>
    </row>
    <row r="74" spans="1:50" ht="17" thickBot="1" x14ac:dyDescent="0.25">
      <c r="A74" s="5" t="s">
        <v>25</v>
      </c>
      <c r="B74" s="12" t="s">
        <v>26</v>
      </c>
      <c r="C74" s="12" t="s">
        <v>100</v>
      </c>
      <c r="D74" s="13" t="s">
        <v>35</v>
      </c>
      <c r="E74" s="14" t="s">
        <v>35</v>
      </c>
      <c r="F74" s="14" t="s">
        <v>35</v>
      </c>
      <c r="G74" s="14" t="s">
        <v>35</v>
      </c>
      <c r="H74" s="13">
        <v>180</v>
      </c>
      <c r="I74" s="14">
        <v>634036.64410000003</v>
      </c>
      <c r="J74" s="14">
        <v>2537.13517</v>
      </c>
      <c r="K74" s="14">
        <v>15.54</v>
      </c>
      <c r="L74" s="13" t="s">
        <v>35</v>
      </c>
      <c r="M74" s="14" t="s">
        <v>35</v>
      </c>
      <c r="N74" s="14" t="s">
        <v>35</v>
      </c>
      <c r="O74" s="14" t="s">
        <v>35</v>
      </c>
      <c r="P74" s="13">
        <v>26</v>
      </c>
      <c r="Q74" s="14">
        <v>91612.369359999997</v>
      </c>
      <c r="R74" s="14">
        <v>3855.7707399999999</v>
      </c>
      <c r="S74" s="14">
        <v>0</v>
      </c>
      <c r="T74" s="15">
        <f t="shared" ref="T74:T116" si="20">AVERAGE(H70:H74)-AVERAGE(H75:H79)</f>
        <v>3.4000000000000057</v>
      </c>
      <c r="AA74" s="15" t="str">
        <f t="shared" ref="AA74:AA137" si="21">IFERROR(AVERAGE(D70:D74)-AVERAGE(D75:D79),"-")</f>
        <v>-</v>
      </c>
      <c r="AG74" s="16"/>
      <c r="AH74" s="15" t="str">
        <f t="shared" ref="AH74:AH137" si="22">IFERROR(AVERAGE(L70:L74)-AVERAGE(L75:L79),"-")</f>
        <v>-</v>
      </c>
      <c r="AO74" s="15">
        <f t="shared" ref="AO74:AO137" si="23">AVERAGE(P70:P74)-AVERAGE(P75:P79)</f>
        <v>6.2000000000000011</v>
      </c>
      <c r="AW74" s="3">
        <f t="shared" si="18"/>
        <v>3500000</v>
      </c>
      <c r="AX74" s="3" t="e">
        <f t="shared" si="19"/>
        <v>#VALUE!</v>
      </c>
    </row>
    <row r="75" spans="1:50" ht="17" thickBot="1" x14ac:dyDescent="0.25">
      <c r="A75" s="5" t="s">
        <v>25</v>
      </c>
      <c r="B75" s="12" t="s">
        <v>26</v>
      </c>
      <c r="C75" s="12" t="s">
        <v>101</v>
      </c>
      <c r="D75" s="13" t="s">
        <v>35</v>
      </c>
      <c r="E75" s="14" t="s">
        <v>35</v>
      </c>
      <c r="F75" s="14" t="s">
        <v>35</v>
      </c>
      <c r="G75" s="14" t="s">
        <v>35</v>
      </c>
      <c r="H75" s="13">
        <v>151</v>
      </c>
      <c r="I75" s="14">
        <v>539655.85614000005</v>
      </c>
      <c r="J75" s="14">
        <v>2126.0145699999998</v>
      </c>
      <c r="K75" s="14">
        <v>17.760000000000002</v>
      </c>
      <c r="L75" s="13" t="s">
        <v>35</v>
      </c>
      <c r="M75" s="14" t="s">
        <v>35</v>
      </c>
      <c r="N75" s="14" t="s">
        <v>35</v>
      </c>
      <c r="O75" s="14" t="s">
        <v>35</v>
      </c>
      <c r="P75" s="13">
        <v>15</v>
      </c>
      <c r="Q75" s="14">
        <v>53563.902269999999</v>
      </c>
      <c r="R75" s="14">
        <v>2166.16876</v>
      </c>
      <c r="S75" s="14">
        <v>0</v>
      </c>
      <c r="T75" s="15">
        <f t="shared" si="20"/>
        <v>-9.1999999999999886</v>
      </c>
      <c r="AA75" s="15" t="str">
        <f t="shared" si="21"/>
        <v>-</v>
      </c>
      <c r="AG75" s="16"/>
      <c r="AH75" s="15" t="str">
        <f t="shared" si="22"/>
        <v>-</v>
      </c>
      <c r="AO75" s="15">
        <f t="shared" si="23"/>
        <v>6.2000000000000011</v>
      </c>
      <c r="AW75" s="3">
        <f t="shared" si="18"/>
        <v>3550000</v>
      </c>
      <c r="AX75" s="3" t="e">
        <f t="shared" si="19"/>
        <v>#VALUE!</v>
      </c>
    </row>
    <row r="76" spans="1:50" ht="17" thickBot="1" x14ac:dyDescent="0.25">
      <c r="A76" s="5" t="s">
        <v>25</v>
      </c>
      <c r="B76" s="12" t="s">
        <v>26</v>
      </c>
      <c r="C76" s="12" t="s">
        <v>102</v>
      </c>
      <c r="D76" s="13" t="s">
        <v>35</v>
      </c>
      <c r="E76" s="14" t="s">
        <v>35</v>
      </c>
      <c r="F76" s="14" t="s">
        <v>35</v>
      </c>
      <c r="G76" s="14" t="s">
        <v>35</v>
      </c>
      <c r="H76" s="13">
        <v>161</v>
      </c>
      <c r="I76" s="14">
        <v>583617.44967</v>
      </c>
      <c r="J76" s="14">
        <v>2420.83536</v>
      </c>
      <c r="K76" s="14">
        <v>16.78</v>
      </c>
      <c r="L76" s="13" t="s">
        <v>35</v>
      </c>
      <c r="M76" s="14" t="s">
        <v>35</v>
      </c>
      <c r="N76" s="14" t="s">
        <v>35</v>
      </c>
      <c r="O76" s="14" t="s">
        <v>35</v>
      </c>
      <c r="P76" s="13">
        <v>17</v>
      </c>
      <c r="Q76" s="14">
        <v>61662.968869999997</v>
      </c>
      <c r="R76" s="14">
        <v>2761.3852999999999</v>
      </c>
      <c r="S76" s="14">
        <v>0</v>
      </c>
      <c r="T76" s="15">
        <f t="shared" si="20"/>
        <v>-19.599999999999994</v>
      </c>
      <c r="AA76" s="15" t="str">
        <f t="shared" si="21"/>
        <v>-</v>
      </c>
      <c r="AG76" s="16"/>
      <c r="AH76" s="15" t="str">
        <f t="shared" si="22"/>
        <v>-</v>
      </c>
      <c r="AO76" s="15">
        <f t="shared" si="23"/>
        <v>4.8000000000000007</v>
      </c>
      <c r="AW76" s="3">
        <f t="shared" si="18"/>
        <v>3600000</v>
      </c>
      <c r="AX76" s="3" t="e">
        <f t="shared" si="19"/>
        <v>#VALUE!</v>
      </c>
    </row>
    <row r="77" spans="1:50" ht="17" thickBot="1" x14ac:dyDescent="0.25">
      <c r="A77" s="5" t="s">
        <v>25</v>
      </c>
      <c r="B77" s="12" t="s">
        <v>26</v>
      </c>
      <c r="C77" s="12" t="s">
        <v>103</v>
      </c>
      <c r="D77" s="13" t="s">
        <v>35</v>
      </c>
      <c r="E77" s="14" t="s">
        <v>35</v>
      </c>
      <c r="F77" s="14" t="s">
        <v>35</v>
      </c>
      <c r="G77" s="14" t="s">
        <v>35</v>
      </c>
      <c r="H77" s="13">
        <v>178</v>
      </c>
      <c r="I77" s="14">
        <v>654136.20579000004</v>
      </c>
      <c r="J77" s="14">
        <v>2463.1904800000002</v>
      </c>
      <c r="K77" s="14">
        <v>32.32</v>
      </c>
      <c r="L77" s="13" t="s">
        <v>35</v>
      </c>
      <c r="M77" s="14" t="s">
        <v>35</v>
      </c>
      <c r="N77" s="14" t="s">
        <v>35</v>
      </c>
      <c r="O77" s="14" t="s">
        <v>35</v>
      </c>
      <c r="P77" s="13">
        <v>16</v>
      </c>
      <c r="Q77" s="14">
        <v>58778.885289999998</v>
      </c>
      <c r="R77" s="14">
        <v>2506.3561</v>
      </c>
      <c r="S77" s="14">
        <v>0</v>
      </c>
      <c r="T77" s="15">
        <f t="shared" si="20"/>
        <v>-19.199999999999989</v>
      </c>
      <c r="AA77" s="15" t="str">
        <f t="shared" si="21"/>
        <v>-</v>
      </c>
      <c r="AG77" s="16"/>
      <c r="AH77" s="15" t="str">
        <f t="shared" si="22"/>
        <v>-</v>
      </c>
      <c r="AO77" s="15">
        <f t="shared" si="23"/>
        <v>3.4000000000000004</v>
      </c>
      <c r="AW77" s="3">
        <f t="shared" si="18"/>
        <v>3650000</v>
      </c>
      <c r="AX77" s="3" t="e">
        <f t="shared" si="19"/>
        <v>#VALUE!</v>
      </c>
    </row>
    <row r="78" spans="1:50" ht="17" thickBot="1" x14ac:dyDescent="0.25">
      <c r="A78" s="5" t="s">
        <v>25</v>
      </c>
      <c r="B78" s="12" t="s">
        <v>26</v>
      </c>
      <c r="C78" s="12" t="s">
        <v>104</v>
      </c>
      <c r="D78" s="13" t="s">
        <v>35</v>
      </c>
      <c r="E78" s="14" t="s">
        <v>35</v>
      </c>
      <c r="F78" s="14" t="s">
        <v>35</v>
      </c>
      <c r="G78" s="14" t="s">
        <v>35</v>
      </c>
      <c r="H78" s="13">
        <v>184</v>
      </c>
      <c r="I78" s="14">
        <v>685232.48126000003</v>
      </c>
      <c r="J78" s="14">
        <v>2544.5832</v>
      </c>
      <c r="K78" s="14">
        <v>19.989999999999998</v>
      </c>
      <c r="L78" s="13">
        <v>1</v>
      </c>
      <c r="M78" s="14">
        <v>3713.6787100000001</v>
      </c>
      <c r="N78" s="14">
        <v>7.0880099999999997</v>
      </c>
      <c r="O78" s="14">
        <v>0</v>
      </c>
      <c r="P78" s="13">
        <v>20</v>
      </c>
      <c r="Q78" s="14">
        <v>74571.917440000005</v>
      </c>
      <c r="R78" s="14">
        <v>2916.6358</v>
      </c>
      <c r="S78" s="14">
        <v>0</v>
      </c>
      <c r="T78" s="15">
        <f t="shared" si="20"/>
        <v>-14.199999999999989</v>
      </c>
      <c r="AA78" s="15" t="str">
        <f t="shared" si="21"/>
        <v>-</v>
      </c>
      <c r="AG78" s="16"/>
      <c r="AH78" s="15" t="str">
        <f t="shared" si="22"/>
        <v>-</v>
      </c>
      <c r="AO78" s="15">
        <f t="shared" si="23"/>
        <v>4.4000000000000004</v>
      </c>
      <c r="AW78" s="3">
        <f t="shared" si="18"/>
        <v>3700000</v>
      </c>
      <c r="AX78" s="3" t="e">
        <f t="shared" si="19"/>
        <v>#VALUE!</v>
      </c>
    </row>
    <row r="79" spans="1:50" ht="17" thickBot="1" x14ac:dyDescent="0.25">
      <c r="A79" s="5" t="s">
        <v>25</v>
      </c>
      <c r="B79" s="12" t="s">
        <v>26</v>
      </c>
      <c r="C79" s="12" t="s">
        <v>105</v>
      </c>
      <c r="D79" s="13" t="s">
        <v>35</v>
      </c>
      <c r="E79" s="14" t="s">
        <v>35</v>
      </c>
      <c r="F79" s="14" t="s">
        <v>35</v>
      </c>
      <c r="G79" s="14" t="s">
        <v>35</v>
      </c>
      <c r="H79" s="13">
        <v>197</v>
      </c>
      <c r="I79" s="14">
        <v>743533.95001000003</v>
      </c>
      <c r="J79" s="14">
        <v>2893.9039699999998</v>
      </c>
      <c r="K79" s="14">
        <v>26.29</v>
      </c>
      <c r="L79" s="13" t="s">
        <v>35</v>
      </c>
      <c r="M79" s="14" t="s">
        <v>35</v>
      </c>
      <c r="N79" s="14" t="s">
        <v>35</v>
      </c>
      <c r="O79" s="14" t="s">
        <v>35</v>
      </c>
      <c r="P79" s="13">
        <v>10</v>
      </c>
      <c r="Q79" s="14">
        <v>37770.447930000002</v>
      </c>
      <c r="R79" s="14">
        <v>1312.46955</v>
      </c>
      <c r="S79" s="14">
        <v>0</v>
      </c>
      <c r="T79" s="15">
        <f t="shared" si="20"/>
        <v>-7.6000000000000227</v>
      </c>
      <c r="AA79" s="15" t="str">
        <f t="shared" si="21"/>
        <v>-</v>
      </c>
      <c r="AG79" s="16"/>
      <c r="AH79" s="15" t="str">
        <f t="shared" si="22"/>
        <v>-</v>
      </c>
      <c r="AO79" s="15">
        <f t="shared" si="23"/>
        <v>0.40000000000000036</v>
      </c>
      <c r="AW79" s="3">
        <f t="shared" si="18"/>
        <v>3750000</v>
      </c>
      <c r="AX79" s="3" t="e">
        <f t="shared" si="19"/>
        <v>#VALUE!</v>
      </c>
    </row>
    <row r="80" spans="1:50" ht="17" thickBot="1" x14ac:dyDescent="0.25">
      <c r="A80" s="5" t="s">
        <v>25</v>
      </c>
      <c r="B80" s="12" t="s">
        <v>26</v>
      </c>
      <c r="C80" s="12" t="s">
        <v>106</v>
      </c>
      <c r="D80" s="13" t="s">
        <v>35</v>
      </c>
      <c r="E80" s="14" t="s">
        <v>35</v>
      </c>
      <c r="F80" s="14" t="s">
        <v>35</v>
      </c>
      <c r="G80" s="14" t="s">
        <v>35</v>
      </c>
      <c r="H80" s="13">
        <v>178</v>
      </c>
      <c r="I80" s="14">
        <v>680705.72360000003</v>
      </c>
      <c r="J80" s="14">
        <v>2532.1127700000002</v>
      </c>
      <c r="K80" s="14">
        <v>19.54</v>
      </c>
      <c r="L80" s="13" t="s">
        <v>35</v>
      </c>
      <c r="M80" s="14" t="s">
        <v>35</v>
      </c>
      <c r="N80" s="14" t="s">
        <v>35</v>
      </c>
      <c r="O80" s="14" t="s">
        <v>35</v>
      </c>
      <c r="P80" s="13">
        <v>14</v>
      </c>
      <c r="Q80" s="14">
        <v>53568.262269999999</v>
      </c>
      <c r="R80" s="14">
        <v>2302.70012</v>
      </c>
      <c r="S80" s="14">
        <v>0</v>
      </c>
      <c r="T80" s="15">
        <f t="shared" si="20"/>
        <v>-2.2000000000000171</v>
      </c>
      <c r="AA80" s="15" t="str">
        <f t="shared" si="21"/>
        <v>-</v>
      </c>
      <c r="AG80" s="16"/>
      <c r="AH80" s="15" t="str">
        <f t="shared" si="22"/>
        <v>-</v>
      </c>
      <c r="AO80" s="15">
        <f t="shared" si="23"/>
        <v>-0.59999999999999964</v>
      </c>
      <c r="AW80" s="3">
        <f t="shared" si="18"/>
        <v>3800000</v>
      </c>
      <c r="AX80" s="3" t="e">
        <f t="shared" si="19"/>
        <v>#VALUE!</v>
      </c>
    </row>
    <row r="81" spans="1:50" ht="17" thickBot="1" x14ac:dyDescent="0.25">
      <c r="A81" s="5" t="s">
        <v>25</v>
      </c>
      <c r="B81" s="12" t="s">
        <v>26</v>
      </c>
      <c r="C81" s="12" t="s">
        <v>107</v>
      </c>
      <c r="D81" s="13" t="s">
        <v>35</v>
      </c>
      <c r="E81" s="14" t="s">
        <v>35</v>
      </c>
      <c r="F81" s="14" t="s">
        <v>35</v>
      </c>
      <c r="G81" s="14" t="s">
        <v>35</v>
      </c>
      <c r="H81" s="13">
        <v>190</v>
      </c>
      <c r="I81" s="14">
        <v>736418.46129000001</v>
      </c>
      <c r="J81" s="14">
        <v>2756.1368900000002</v>
      </c>
      <c r="K81" s="14">
        <v>20.16</v>
      </c>
      <c r="L81" s="13" t="s">
        <v>35</v>
      </c>
      <c r="M81" s="14" t="s">
        <v>35</v>
      </c>
      <c r="N81" s="14" t="s">
        <v>35</v>
      </c>
      <c r="O81" s="14" t="s">
        <v>35</v>
      </c>
      <c r="P81" s="13">
        <v>16</v>
      </c>
      <c r="Q81" s="14">
        <v>62057.159959999997</v>
      </c>
      <c r="R81" s="14">
        <v>2449.0183499999998</v>
      </c>
      <c r="S81" s="14">
        <v>0</v>
      </c>
      <c r="T81" s="15">
        <f t="shared" si="20"/>
        <v>3.2000000000000171</v>
      </c>
      <c r="AA81" s="15" t="str">
        <f t="shared" si="21"/>
        <v>-</v>
      </c>
      <c r="AG81" s="16"/>
      <c r="AH81" s="15" t="str">
        <f t="shared" si="22"/>
        <v>-</v>
      </c>
      <c r="AO81" s="15">
        <f t="shared" si="23"/>
        <v>0.19999999999999929</v>
      </c>
      <c r="AW81" s="3">
        <f t="shared" si="18"/>
        <v>3850000</v>
      </c>
      <c r="AX81" s="3" t="e">
        <f t="shared" si="19"/>
        <v>#VALUE!</v>
      </c>
    </row>
    <row r="82" spans="1:50" ht="17" thickBot="1" x14ac:dyDescent="0.25">
      <c r="A82" s="5" t="s">
        <v>25</v>
      </c>
      <c r="B82" s="12" t="s">
        <v>26</v>
      </c>
      <c r="C82" s="12" t="s">
        <v>108</v>
      </c>
      <c r="D82" s="13" t="s">
        <v>35</v>
      </c>
      <c r="E82" s="14" t="s">
        <v>35</v>
      </c>
      <c r="F82" s="14" t="s">
        <v>35</v>
      </c>
      <c r="G82" s="14" t="s">
        <v>35</v>
      </c>
      <c r="H82" s="13">
        <v>191</v>
      </c>
      <c r="I82" s="14">
        <v>749902.42943000002</v>
      </c>
      <c r="J82" s="14">
        <v>2975.4223299999999</v>
      </c>
      <c r="K82" s="14">
        <v>30.56</v>
      </c>
      <c r="L82" s="13" t="s">
        <v>35</v>
      </c>
      <c r="M82" s="14" t="s">
        <v>35</v>
      </c>
      <c r="N82" s="14" t="s">
        <v>35</v>
      </c>
      <c r="O82" s="14" t="s">
        <v>35</v>
      </c>
      <c r="P82" s="13">
        <v>17</v>
      </c>
      <c r="Q82" s="14">
        <v>66613.966180000003</v>
      </c>
      <c r="R82" s="14">
        <v>2659.8054000000002</v>
      </c>
      <c r="S82" s="14">
        <v>0</v>
      </c>
      <c r="T82" s="15">
        <f t="shared" si="20"/>
        <v>9</v>
      </c>
      <c r="AA82" s="15" t="str">
        <f t="shared" si="21"/>
        <v>-</v>
      </c>
      <c r="AG82" s="16"/>
      <c r="AH82" s="15" t="str">
        <f t="shared" si="22"/>
        <v>-</v>
      </c>
      <c r="AO82" s="15">
        <f t="shared" si="23"/>
        <v>0.20000000000000107</v>
      </c>
      <c r="AW82" s="3">
        <f t="shared" si="18"/>
        <v>3900000</v>
      </c>
      <c r="AX82" s="3" t="e">
        <f t="shared" si="19"/>
        <v>#VALUE!</v>
      </c>
    </row>
    <row r="83" spans="1:50" ht="17" thickBot="1" x14ac:dyDescent="0.25">
      <c r="A83" s="5" t="s">
        <v>25</v>
      </c>
      <c r="B83" s="12" t="s">
        <v>26</v>
      </c>
      <c r="C83" s="12" t="s">
        <v>109</v>
      </c>
      <c r="D83" s="13" t="s">
        <v>35</v>
      </c>
      <c r="E83" s="14" t="s">
        <v>35</v>
      </c>
      <c r="F83" s="14" t="s">
        <v>35</v>
      </c>
      <c r="G83" s="14" t="s">
        <v>35</v>
      </c>
      <c r="H83" s="13">
        <v>169</v>
      </c>
      <c r="I83" s="14">
        <v>671922.82091999997</v>
      </c>
      <c r="J83" s="14">
        <v>2872.18815</v>
      </c>
      <c r="K83" s="14">
        <v>14.92</v>
      </c>
      <c r="L83" s="13" t="s">
        <v>35</v>
      </c>
      <c r="M83" s="14" t="s">
        <v>35</v>
      </c>
      <c r="N83" s="14" t="s">
        <v>35</v>
      </c>
      <c r="O83" s="14" t="s">
        <v>35</v>
      </c>
      <c r="P83" s="13">
        <v>15</v>
      </c>
      <c r="Q83" s="14">
        <v>59591.213499999998</v>
      </c>
      <c r="R83" s="14">
        <v>2342.6158300000002</v>
      </c>
      <c r="S83" s="14">
        <v>0</v>
      </c>
      <c r="T83" s="15">
        <f t="shared" si="20"/>
        <v>2.1999999999999886</v>
      </c>
      <c r="AA83" s="15" t="str">
        <f t="shared" si="21"/>
        <v>-</v>
      </c>
      <c r="AG83" s="16"/>
      <c r="AH83" s="15" t="str">
        <f t="shared" si="22"/>
        <v>-</v>
      </c>
      <c r="AO83" s="15">
        <f t="shared" si="23"/>
        <v>-0.79999999999999893</v>
      </c>
      <c r="AW83" s="3">
        <f t="shared" si="18"/>
        <v>3950000</v>
      </c>
      <c r="AX83" s="3" t="e">
        <f t="shared" si="19"/>
        <v>#VALUE!</v>
      </c>
    </row>
    <row r="84" spans="1:50" ht="17" thickBot="1" x14ac:dyDescent="0.25">
      <c r="A84" s="5" t="s">
        <v>25</v>
      </c>
      <c r="B84" s="12" t="s">
        <v>26</v>
      </c>
      <c r="C84" s="12" t="s">
        <v>110</v>
      </c>
      <c r="D84" s="13" t="s">
        <v>35</v>
      </c>
      <c r="E84" s="14" t="s">
        <v>35</v>
      </c>
      <c r="F84" s="14" t="s">
        <v>35</v>
      </c>
      <c r="G84" s="14" t="s">
        <v>35</v>
      </c>
      <c r="H84" s="13">
        <v>181</v>
      </c>
      <c r="I84" s="14">
        <v>728566.78662000003</v>
      </c>
      <c r="J84" s="14">
        <v>2706.2764000000002</v>
      </c>
      <c r="K84" s="14">
        <v>18.29</v>
      </c>
      <c r="L84" s="13" t="s">
        <v>35</v>
      </c>
      <c r="M84" s="14" t="s">
        <v>35</v>
      </c>
      <c r="N84" s="14" t="s">
        <v>35</v>
      </c>
      <c r="O84" s="14" t="s">
        <v>35</v>
      </c>
      <c r="P84" s="13">
        <v>14</v>
      </c>
      <c r="Q84" s="14">
        <v>56344.090429999997</v>
      </c>
      <c r="R84" s="14">
        <v>2481.9740099999999</v>
      </c>
      <c r="S84" s="14">
        <v>0</v>
      </c>
      <c r="T84" s="15">
        <f t="shared" si="20"/>
        <v>2.4000000000000057</v>
      </c>
      <c r="AA84" s="15" t="str">
        <f t="shared" si="21"/>
        <v>-</v>
      </c>
      <c r="AG84" s="16"/>
      <c r="AH84" s="15" t="str">
        <f t="shared" si="22"/>
        <v>-</v>
      </c>
      <c r="AO84" s="15">
        <f t="shared" si="23"/>
        <v>-0.60000000000000142</v>
      </c>
      <c r="AW84" s="3">
        <f t="shared" si="18"/>
        <v>4000000</v>
      </c>
      <c r="AX84" s="3" t="e">
        <f t="shared" si="19"/>
        <v>#VALUE!</v>
      </c>
    </row>
    <row r="85" spans="1:50" ht="17" thickBot="1" x14ac:dyDescent="0.25">
      <c r="A85" s="5" t="s">
        <v>25</v>
      </c>
      <c r="B85" s="12" t="s">
        <v>26</v>
      </c>
      <c r="C85" s="12" t="s">
        <v>111</v>
      </c>
      <c r="D85" s="13" t="s">
        <v>35</v>
      </c>
      <c r="E85" s="14" t="s">
        <v>35</v>
      </c>
      <c r="F85" s="14" t="s">
        <v>35</v>
      </c>
      <c r="G85" s="14" t="s">
        <v>35</v>
      </c>
      <c r="H85" s="13">
        <v>178</v>
      </c>
      <c r="I85" s="14">
        <v>725492.15269999998</v>
      </c>
      <c r="J85" s="14">
        <v>2725.8998200000001</v>
      </c>
      <c r="K85" s="14">
        <v>26.1</v>
      </c>
      <c r="L85" s="13" t="s">
        <v>35</v>
      </c>
      <c r="M85" s="14" t="s">
        <v>35</v>
      </c>
      <c r="N85" s="14" t="s">
        <v>35</v>
      </c>
      <c r="O85" s="14" t="s">
        <v>35</v>
      </c>
      <c r="P85" s="13">
        <v>18</v>
      </c>
      <c r="Q85" s="14">
        <v>73442.371239999993</v>
      </c>
      <c r="R85" s="14">
        <v>2739.3580400000001</v>
      </c>
      <c r="S85" s="14">
        <v>0</v>
      </c>
      <c r="T85" s="15">
        <f t="shared" si="20"/>
        <v>2</v>
      </c>
      <c r="AA85" s="15" t="str">
        <f t="shared" si="21"/>
        <v>-</v>
      </c>
      <c r="AG85" s="16"/>
      <c r="AH85" s="15" t="str">
        <f t="shared" si="22"/>
        <v>-</v>
      </c>
      <c r="AO85" s="15">
        <f t="shared" si="23"/>
        <v>0.59999999999999964</v>
      </c>
      <c r="AW85" s="3">
        <f t="shared" si="18"/>
        <v>4050000</v>
      </c>
      <c r="AX85" s="3" t="e">
        <f t="shared" si="19"/>
        <v>#VALUE!</v>
      </c>
    </row>
    <row r="86" spans="1:50" ht="17" thickBot="1" x14ac:dyDescent="0.25">
      <c r="A86" s="5" t="s">
        <v>25</v>
      </c>
      <c r="B86" s="12" t="s">
        <v>26</v>
      </c>
      <c r="C86" s="12" t="s">
        <v>112</v>
      </c>
      <c r="D86" s="13" t="s">
        <v>35</v>
      </c>
      <c r="E86" s="14" t="s">
        <v>35</v>
      </c>
      <c r="F86" s="14" t="s">
        <v>35</v>
      </c>
      <c r="G86" s="14" t="s">
        <v>35</v>
      </c>
      <c r="H86" s="13">
        <v>192</v>
      </c>
      <c r="I86" s="14">
        <v>791697.84233000001</v>
      </c>
      <c r="J86" s="14">
        <v>2965.0920999999998</v>
      </c>
      <c r="K86" s="14">
        <v>28.23</v>
      </c>
      <c r="L86" s="13" t="s">
        <v>35</v>
      </c>
      <c r="M86" s="14" t="s">
        <v>35</v>
      </c>
      <c r="N86" s="14" t="s">
        <v>35</v>
      </c>
      <c r="O86" s="14" t="s">
        <v>35</v>
      </c>
      <c r="P86" s="13">
        <v>11</v>
      </c>
      <c r="Q86" s="14">
        <v>45408.533040000002</v>
      </c>
      <c r="R86" s="14">
        <v>1539.0792300000001</v>
      </c>
      <c r="S86" s="14">
        <v>0</v>
      </c>
      <c r="T86" s="15">
        <f t="shared" si="20"/>
        <v>-1.4000000000000057</v>
      </c>
      <c r="AA86" s="15" t="str">
        <f t="shared" si="21"/>
        <v>-</v>
      </c>
      <c r="AG86" s="16"/>
      <c r="AH86" s="15" t="str">
        <f t="shared" si="22"/>
        <v>-</v>
      </c>
      <c r="AO86" s="15">
        <f t="shared" si="23"/>
        <v>0.59999999999999964</v>
      </c>
      <c r="AW86" s="3">
        <f t="shared" si="18"/>
        <v>4100000</v>
      </c>
      <c r="AX86" s="3" t="e">
        <f t="shared" si="19"/>
        <v>#VALUE!</v>
      </c>
    </row>
    <row r="87" spans="1:50" ht="17" thickBot="1" x14ac:dyDescent="0.25">
      <c r="A87" s="5" t="s">
        <v>25</v>
      </c>
      <c r="B87" s="12" t="s">
        <v>26</v>
      </c>
      <c r="C87" s="12" t="s">
        <v>113</v>
      </c>
      <c r="D87" s="13" t="s">
        <v>35</v>
      </c>
      <c r="E87" s="14" t="s">
        <v>35</v>
      </c>
      <c r="F87" s="14" t="s">
        <v>35</v>
      </c>
      <c r="G87" s="14" t="s">
        <v>35</v>
      </c>
      <c r="H87" s="13">
        <v>175</v>
      </c>
      <c r="I87" s="14">
        <v>730666.99023</v>
      </c>
      <c r="J87" s="14">
        <v>2675.1852600000002</v>
      </c>
      <c r="K87" s="14">
        <v>24.87</v>
      </c>
      <c r="L87" s="13" t="s">
        <v>35</v>
      </c>
      <c r="M87" s="14" t="s">
        <v>35</v>
      </c>
      <c r="N87" s="14" t="s">
        <v>35</v>
      </c>
      <c r="O87" s="14" t="s">
        <v>35</v>
      </c>
      <c r="P87" s="13">
        <v>18</v>
      </c>
      <c r="Q87" s="14">
        <v>75144.527059999993</v>
      </c>
      <c r="R87" s="14">
        <v>2665.0734299999999</v>
      </c>
      <c r="S87" s="14">
        <v>2.2570000000000001</v>
      </c>
      <c r="T87" s="15">
        <f t="shared" si="20"/>
        <v>-4.1999999999999886</v>
      </c>
      <c r="AA87" s="15" t="str">
        <f t="shared" si="21"/>
        <v>-</v>
      </c>
      <c r="AG87" s="16"/>
      <c r="AH87" s="15" t="str">
        <f t="shared" si="22"/>
        <v>-</v>
      </c>
      <c r="AO87" s="15">
        <f t="shared" si="23"/>
        <v>0.39999999999999858</v>
      </c>
      <c r="AW87" s="3">
        <f t="shared" si="18"/>
        <v>4150000</v>
      </c>
      <c r="AX87" s="3" t="e">
        <f t="shared" si="19"/>
        <v>#VALUE!</v>
      </c>
    </row>
    <row r="88" spans="1:50" ht="17" thickBot="1" x14ac:dyDescent="0.25">
      <c r="A88" s="5" t="s">
        <v>25</v>
      </c>
      <c r="B88" s="12" t="s">
        <v>26</v>
      </c>
      <c r="C88" s="12" t="s">
        <v>114</v>
      </c>
      <c r="D88" s="13" t="s">
        <v>35</v>
      </c>
      <c r="E88" s="14" t="s">
        <v>35</v>
      </c>
      <c r="F88" s="14" t="s">
        <v>35</v>
      </c>
      <c r="G88" s="14" t="s">
        <v>35</v>
      </c>
      <c r="H88" s="13">
        <v>188</v>
      </c>
      <c r="I88" s="14">
        <v>793999.69249000004</v>
      </c>
      <c r="J88" s="14">
        <v>2745.0621000000001</v>
      </c>
      <c r="K88" s="14">
        <v>28.41</v>
      </c>
      <c r="L88" s="13" t="s">
        <v>35</v>
      </c>
      <c r="M88" s="14" t="s">
        <v>35</v>
      </c>
      <c r="N88" s="14" t="s">
        <v>35</v>
      </c>
      <c r="O88" s="14" t="s">
        <v>35</v>
      </c>
      <c r="P88" s="13">
        <v>15</v>
      </c>
      <c r="Q88" s="14">
        <v>63502.647620000003</v>
      </c>
      <c r="R88" s="14">
        <v>2671.3820500000002</v>
      </c>
      <c r="S88" s="14">
        <v>0</v>
      </c>
      <c r="T88" s="15">
        <f t="shared" si="20"/>
        <v>-3.3999999999999773</v>
      </c>
      <c r="AA88" s="15" t="str">
        <f t="shared" si="21"/>
        <v>-</v>
      </c>
      <c r="AG88" s="16"/>
      <c r="AH88" s="15" t="str">
        <f t="shared" si="22"/>
        <v>-</v>
      </c>
      <c r="AO88" s="15">
        <f t="shared" si="23"/>
        <v>1</v>
      </c>
      <c r="AW88" s="3">
        <f t="shared" si="18"/>
        <v>4200000</v>
      </c>
      <c r="AX88" s="3" t="e">
        <f t="shared" si="19"/>
        <v>#VALUE!</v>
      </c>
    </row>
    <row r="89" spans="1:50" ht="17" thickBot="1" x14ac:dyDescent="0.25">
      <c r="A89" s="5" t="s">
        <v>25</v>
      </c>
      <c r="B89" s="12" t="s">
        <v>26</v>
      </c>
      <c r="C89" s="12" t="s">
        <v>115</v>
      </c>
      <c r="D89" s="13" t="s">
        <v>35</v>
      </c>
      <c r="E89" s="14" t="s">
        <v>35</v>
      </c>
      <c r="F89" s="14" t="s">
        <v>35</v>
      </c>
      <c r="G89" s="14" t="s">
        <v>35</v>
      </c>
      <c r="H89" s="13">
        <v>164</v>
      </c>
      <c r="I89" s="14">
        <v>701293.18654000002</v>
      </c>
      <c r="J89" s="14">
        <v>2315.1859800000002</v>
      </c>
      <c r="K89" s="14">
        <v>19.02</v>
      </c>
      <c r="L89" s="13" t="s">
        <v>35</v>
      </c>
      <c r="M89" s="14" t="s">
        <v>35</v>
      </c>
      <c r="N89" s="14" t="s">
        <v>35</v>
      </c>
      <c r="O89" s="14" t="s">
        <v>35</v>
      </c>
      <c r="P89" s="13">
        <v>17</v>
      </c>
      <c r="Q89" s="14">
        <v>72817.865650000007</v>
      </c>
      <c r="R89" s="14">
        <v>3140.6120999999998</v>
      </c>
      <c r="S89" s="14">
        <v>0</v>
      </c>
      <c r="T89" s="15">
        <f t="shared" si="20"/>
        <v>-15.599999999999994</v>
      </c>
      <c r="AA89" s="15" t="str">
        <f t="shared" si="21"/>
        <v>-</v>
      </c>
      <c r="AG89" s="16"/>
      <c r="AH89" s="15" t="str">
        <f t="shared" si="22"/>
        <v>-</v>
      </c>
      <c r="AO89" s="15">
        <f t="shared" si="23"/>
        <v>2.2000000000000011</v>
      </c>
      <c r="AW89" s="3">
        <f t="shared" si="18"/>
        <v>4250000</v>
      </c>
      <c r="AX89" s="3" t="e">
        <f t="shared" si="19"/>
        <v>#VALUE!</v>
      </c>
    </row>
    <row r="90" spans="1:50" ht="17" thickBot="1" x14ac:dyDescent="0.25">
      <c r="A90" s="5" t="s">
        <v>25</v>
      </c>
      <c r="B90" s="12" t="s">
        <v>26</v>
      </c>
      <c r="C90" s="12" t="s">
        <v>116</v>
      </c>
      <c r="D90" s="13" t="s">
        <v>35</v>
      </c>
      <c r="E90" s="14" t="s">
        <v>35</v>
      </c>
      <c r="F90" s="14" t="s">
        <v>35</v>
      </c>
      <c r="G90" s="14" t="s">
        <v>35</v>
      </c>
      <c r="H90" s="13">
        <v>180</v>
      </c>
      <c r="I90" s="14">
        <v>778601.53873999999</v>
      </c>
      <c r="J90" s="14">
        <v>2646.6326899999999</v>
      </c>
      <c r="K90" s="14">
        <v>23.27</v>
      </c>
      <c r="L90" s="13" t="s">
        <v>35</v>
      </c>
      <c r="M90" s="14" t="s">
        <v>35</v>
      </c>
      <c r="N90" s="14" t="s">
        <v>35</v>
      </c>
      <c r="O90" s="14" t="s">
        <v>35</v>
      </c>
      <c r="P90" s="13">
        <v>16</v>
      </c>
      <c r="Q90" s="14">
        <v>69265.315889999998</v>
      </c>
      <c r="R90" s="14">
        <v>3014.8700899999999</v>
      </c>
      <c r="S90" s="14">
        <v>0</v>
      </c>
      <c r="T90" s="15">
        <f t="shared" si="20"/>
        <v>-17</v>
      </c>
      <c r="AA90" s="15" t="str">
        <f t="shared" si="21"/>
        <v>-</v>
      </c>
      <c r="AG90" s="16"/>
      <c r="AH90" s="15" t="str">
        <f t="shared" si="22"/>
        <v>-</v>
      </c>
      <c r="AO90" s="15">
        <f t="shared" si="23"/>
        <v>3</v>
      </c>
      <c r="AW90" s="3">
        <f t="shared" si="18"/>
        <v>4300000</v>
      </c>
      <c r="AX90" s="3" t="e">
        <f t="shared" si="19"/>
        <v>#VALUE!</v>
      </c>
    </row>
    <row r="91" spans="1:50" ht="17" thickBot="1" x14ac:dyDescent="0.25">
      <c r="A91" s="5" t="s">
        <v>25</v>
      </c>
      <c r="B91" s="12" t="s">
        <v>26</v>
      </c>
      <c r="C91" s="12" t="s">
        <v>117</v>
      </c>
      <c r="D91" s="13" t="s">
        <v>35</v>
      </c>
      <c r="E91" s="14" t="s">
        <v>35</v>
      </c>
      <c r="F91" s="14" t="s">
        <v>35</v>
      </c>
      <c r="G91" s="14" t="s">
        <v>35</v>
      </c>
      <c r="H91" s="13">
        <v>211</v>
      </c>
      <c r="I91" s="14">
        <v>922810.17584000004</v>
      </c>
      <c r="J91" s="14">
        <v>3058.2936800000002</v>
      </c>
      <c r="K91" s="14">
        <v>43.07</v>
      </c>
      <c r="L91" s="13" t="s">
        <v>35</v>
      </c>
      <c r="M91" s="14" t="s">
        <v>35</v>
      </c>
      <c r="N91" s="14" t="s">
        <v>35</v>
      </c>
      <c r="O91" s="14" t="s">
        <v>35</v>
      </c>
      <c r="P91" s="13">
        <v>6</v>
      </c>
      <c r="Q91" s="14">
        <v>26262.60601</v>
      </c>
      <c r="R91" s="14">
        <v>1156.3431</v>
      </c>
      <c r="S91" s="14">
        <v>0</v>
      </c>
      <c r="T91" s="15">
        <f t="shared" si="20"/>
        <v>-11.400000000000006</v>
      </c>
      <c r="AA91" s="15" t="str">
        <f t="shared" si="21"/>
        <v>-</v>
      </c>
      <c r="AG91" s="16"/>
      <c r="AH91" s="15" t="str">
        <f t="shared" si="22"/>
        <v>-</v>
      </c>
      <c r="AO91" s="15">
        <f t="shared" si="23"/>
        <v>0.40000000000000036</v>
      </c>
      <c r="AW91" s="3">
        <f t="shared" si="18"/>
        <v>4350000</v>
      </c>
      <c r="AX91" s="3" t="e">
        <f t="shared" si="19"/>
        <v>#VALUE!</v>
      </c>
    </row>
    <row r="92" spans="1:50" ht="17" thickBot="1" x14ac:dyDescent="0.25">
      <c r="A92" s="5" t="s">
        <v>25</v>
      </c>
      <c r="B92" s="12" t="s">
        <v>26</v>
      </c>
      <c r="C92" s="12" t="s">
        <v>118</v>
      </c>
      <c r="D92" s="13" t="s">
        <v>35</v>
      </c>
      <c r="E92" s="14" t="s">
        <v>35</v>
      </c>
      <c r="F92" s="14" t="s">
        <v>35</v>
      </c>
      <c r="G92" s="14" t="s">
        <v>35</v>
      </c>
      <c r="H92" s="13">
        <v>173</v>
      </c>
      <c r="I92" s="14">
        <v>765430.88497999997</v>
      </c>
      <c r="J92" s="14">
        <v>2477.6207100000001</v>
      </c>
      <c r="K92" s="14">
        <v>15.984999999999999</v>
      </c>
      <c r="L92" s="13">
        <v>1</v>
      </c>
      <c r="M92" s="14">
        <v>4415.8323399999999</v>
      </c>
      <c r="N92" s="14">
        <v>126.14218</v>
      </c>
      <c r="O92" s="14">
        <v>0</v>
      </c>
      <c r="P92" s="13">
        <v>20</v>
      </c>
      <c r="Q92" s="14">
        <v>88493.788780000003</v>
      </c>
      <c r="R92" s="14">
        <v>4042.0123600000002</v>
      </c>
      <c r="S92" s="14">
        <v>0</v>
      </c>
      <c r="T92" s="15">
        <f t="shared" si="20"/>
        <v>-19.800000000000011</v>
      </c>
      <c r="AA92" s="15" t="str">
        <f t="shared" si="21"/>
        <v>-</v>
      </c>
      <c r="AG92" s="16"/>
      <c r="AH92" s="15">
        <f t="shared" si="22"/>
        <v>0</v>
      </c>
      <c r="AO92" s="15">
        <f t="shared" si="23"/>
        <v>1.2000000000000011</v>
      </c>
      <c r="AW92" s="3">
        <f t="shared" si="18"/>
        <v>4400000</v>
      </c>
      <c r="AX92" s="3" t="e">
        <f t="shared" si="19"/>
        <v>#VALUE!</v>
      </c>
    </row>
    <row r="93" spans="1:50" ht="17" thickBot="1" x14ac:dyDescent="0.25">
      <c r="A93" s="5" t="s">
        <v>25</v>
      </c>
      <c r="B93" s="12" t="s">
        <v>26</v>
      </c>
      <c r="C93" s="12" t="s">
        <v>119</v>
      </c>
      <c r="D93" s="13" t="s">
        <v>35</v>
      </c>
      <c r="E93" s="14" t="s">
        <v>35</v>
      </c>
      <c r="F93" s="14" t="s">
        <v>35</v>
      </c>
      <c r="G93" s="14" t="s">
        <v>35</v>
      </c>
      <c r="H93" s="13">
        <v>203</v>
      </c>
      <c r="I93" s="14">
        <v>908351.45301000006</v>
      </c>
      <c r="J93" s="14">
        <v>3270.47633</v>
      </c>
      <c r="K93" s="14">
        <v>28.864999999999998</v>
      </c>
      <c r="L93" s="13" t="s">
        <v>35</v>
      </c>
      <c r="M93" s="14" t="s">
        <v>35</v>
      </c>
      <c r="N93" s="14" t="s">
        <v>35</v>
      </c>
      <c r="O93" s="14" t="s">
        <v>35</v>
      </c>
      <c r="P93" s="13">
        <v>12</v>
      </c>
      <c r="Q93" s="14">
        <v>53720.409319999999</v>
      </c>
      <c r="R93" s="14">
        <v>1626.18462</v>
      </c>
      <c r="S93" s="14">
        <v>0</v>
      </c>
      <c r="T93" s="15">
        <f t="shared" si="20"/>
        <v>-14.800000000000011</v>
      </c>
      <c r="V93" s="22" t="s">
        <v>120</v>
      </c>
      <c r="AA93" s="15" t="str">
        <f t="shared" si="21"/>
        <v>-</v>
      </c>
      <c r="AG93" s="16"/>
      <c r="AH93" s="15">
        <f t="shared" si="22"/>
        <v>0</v>
      </c>
      <c r="AO93" s="15">
        <f t="shared" si="23"/>
        <v>-0.80000000000000071</v>
      </c>
      <c r="AP93" s="15">
        <f t="shared" ref="AP93" si="24">AVERAGE(P89:P93)</f>
        <v>14.2</v>
      </c>
      <c r="AQ93" s="3" t="e">
        <f t="shared" ref="AQ93:AQ156" si="25">AVERAGE($AW93:$AX93)/1000</f>
        <v>#VALUE!</v>
      </c>
      <c r="AR93" s="15" t="e">
        <f t="shared" ref="AR93:AR151" si="26">IF(AO93&lt;-0.4,AP93*AQ93,0)</f>
        <v>#VALUE!</v>
      </c>
      <c r="AS93" s="3" t="e">
        <f t="shared" ref="AS93:AS156" si="27">IF(AR93=0,0,Q93)</f>
        <v>#VALUE!</v>
      </c>
      <c r="AT93" s="3" t="e">
        <f t="shared" ref="AT93:AT156" si="28">AS93-AR93</f>
        <v>#VALUE!</v>
      </c>
      <c r="AU93" s="16"/>
      <c r="AW93" s="3">
        <f t="shared" si="18"/>
        <v>4450000</v>
      </c>
      <c r="AX93" s="3" t="e">
        <f t="shared" si="19"/>
        <v>#VALUE!</v>
      </c>
    </row>
    <row r="94" spans="1:50" ht="17" thickBot="1" x14ac:dyDescent="0.25">
      <c r="A94" s="5" t="s">
        <v>25</v>
      </c>
      <c r="B94" s="12" t="s">
        <v>26</v>
      </c>
      <c r="C94" s="12" t="s">
        <v>121</v>
      </c>
      <c r="D94" s="13" t="s">
        <v>35</v>
      </c>
      <c r="E94" s="14" t="s">
        <v>35</v>
      </c>
      <c r="F94" s="14" t="s">
        <v>35</v>
      </c>
      <c r="G94" s="14" t="s">
        <v>35</v>
      </c>
      <c r="H94" s="13">
        <v>208</v>
      </c>
      <c r="I94" s="14">
        <v>940882.79989999998</v>
      </c>
      <c r="J94" s="14">
        <v>3076.9754200000002</v>
      </c>
      <c r="K94" s="14">
        <v>31.43</v>
      </c>
      <c r="L94" s="13">
        <v>1</v>
      </c>
      <c r="M94" s="14">
        <v>4508.74629</v>
      </c>
      <c r="N94" s="14">
        <v>143.67877999999999</v>
      </c>
      <c r="O94" s="14">
        <v>0</v>
      </c>
      <c r="P94" s="13">
        <v>14</v>
      </c>
      <c r="Q94" s="14">
        <v>63309.173040000001</v>
      </c>
      <c r="R94" s="14">
        <v>2544.9430499999999</v>
      </c>
      <c r="S94" s="14">
        <v>0</v>
      </c>
      <c r="T94" s="15">
        <f t="shared" si="20"/>
        <v>1.1999999999999886</v>
      </c>
      <c r="U94" s="23" t="s">
        <v>18</v>
      </c>
      <c r="V94" s="24" t="s">
        <v>122</v>
      </c>
      <c r="W94" s="24" t="s">
        <v>20</v>
      </c>
      <c r="X94" s="24" t="s">
        <v>21</v>
      </c>
      <c r="Y94" s="24" t="s">
        <v>22</v>
      </c>
      <c r="AA94" s="15" t="str">
        <f t="shared" si="21"/>
        <v>-</v>
      </c>
      <c r="AG94" s="16"/>
      <c r="AH94" s="15" t="str">
        <f t="shared" si="22"/>
        <v>-</v>
      </c>
      <c r="AO94" s="15">
        <f t="shared" si="23"/>
        <v>-1.8000000000000007</v>
      </c>
      <c r="AP94" s="15">
        <f>AP93</f>
        <v>14.2</v>
      </c>
      <c r="AQ94" s="3" t="e">
        <f t="shared" si="25"/>
        <v>#VALUE!</v>
      </c>
      <c r="AR94" s="15" t="e">
        <f t="shared" si="26"/>
        <v>#VALUE!</v>
      </c>
      <c r="AS94" s="3" t="e">
        <f t="shared" si="27"/>
        <v>#VALUE!</v>
      </c>
      <c r="AT94" s="3" t="e">
        <f t="shared" si="28"/>
        <v>#VALUE!</v>
      </c>
      <c r="AU94" s="16" t="e">
        <f t="shared" ref="AU94:AU157" si="29">AQ94-AQ93</f>
        <v>#VALUE!</v>
      </c>
      <c r="AW94" s="3">
        <f t="shared" si="18"/>
        <v>4500000</v>
      </c>
      <c r="AX94" s="3" t="e">
        <f t="shared" si="19"/>
        <v>#VALUE!</v>
      </c>
    </row>
    <row r="95" spans="1:50" ht="17" thickBot="1" x14ac:dyDescent="0.25">
      <c r="A95" s="5" t="s">
        <v>25</v>
      </c>
      <c r="B95" s="12" t="s">
        <v>26</v>
      </c>
      <c r="C95" s="12" t="s">
        <v>123</v>
      </c>
      <c r="D95" s="13" t="s">
        <v>35</v>
      </c>
      <c r="E95" s="14" t="s">
        <v>35</v>
      </c>
      <c r="F95" s="14" t="s">
        <v>35</v>
      </c>
      <c r="G95" s="14" t="s">
        <v>35</v>
      </c>
      <c r="H95" s="25">
        <v>189</v>
      </c>
      <c r="I95" s="26">
        <v>864660.41217999998</v>
      </c>
      <c r="J95" s="26">
        <v>2681.1805399999998</v>
      </c>
      <c r="K95" s="26">
        <v>19.36</v>
      </c>
      <c r="L95" s="25" t="s">
        <v>35</v>
      </c>
      <c r="M95" s="26" t="s">
        <v>35</v>
      </c>
      <c r="N95" s="26" t="s">
        <v>35</v>
      </c>
      <c r="O95" s="26" t="s">
        <v>35</v>
      </c>
      <c r="P95" s="25">
        <v>10</v>
      </c>
      <c r="Q95" s="26">
        <v>45762.375780000002</v>
      </c>
      <c r="R95" s="26">
        <v>1893.51794</v>
      </c>
      <c r="S95" s="26">
        <v>0</v>
      </c>
      <c r="T95" s="15">
        <f t="shared" si="20"/>
        <v>-2.7999999999999829</v>
      </c>
      <c r="U95" s="15">
        <f>AVERAGE(H90:H94)</f>
        <v>195</v>
      </c>
      <c r="V95" s="15">
        <v>4575</v>
      </c>
      <c r="W95" s="15">
        <f>U95*V95</f>
        <v>892125</v>
      </c>
      <c r="X95" s="15">
        <f>I95</f>
        <v>864660.41217999998</v>
      </c>
      <c r="Y95" s="27">
        <f>X95-W95</f>
        <v>-27464.587820000015</v>
      </c>
      <c r="AA95" s="15" t="str">
        <f t="shared" si="21"/>
        <v>-</v>
      </c>
      <c r="AG95" s="16"/>
      <c r="AH95" s="15" t="str">
        <f t="shared" si="22"/>
        <v>-</v>
      </c>
      <c r="AO95" s="15">
        <f t="shared" si="23"/>
        <v>-3.4000000000000004</v>
      </c>
      <c r="AP95" s="15">
        <f t="shared" ref="AP95:AP158" si="30">AP94</f>
        <v>14.2</v>
      </c>
      <c r="AQ95" s="3" t="e">
        <f t="shared" si="25"/>
        <v>#VALUE!</v>
      </c>
      <c r="AR95" s="15" t="e">
        <f t="shared" si="26"/>
        <v>#VALUE!</v>
      </c>
      <c r="AS95" s="3" t="e">
        <f t="shared" si="27"/>
        <v>#VALUE!</v>
      </c>
      <c r="AT95" s="3" t="e">
        <f t="shared" si="28"/>
        <v>#VALUE!</v>
      </c>
      <c r="AU95" s="16" t="e">
        <f t="shared" si="29"/>
        <v>#VALUE!</v>
      </c>
      <c r="AW95" s="3">
        <f t="shared" si="18"/>
        <v>4550000</v>
      </c>
      <c r="AX95" s="3" t="e">
        <f t="shared" si="19"/>
        <v>#VALUE!</v>
      </c>
    </row>
    <row r="96" spans="1:50" ht="17" thickBot="1" x14ac:dyDescent="0.25">
      <c r="A96" s="5" t="s">
        <v>25</v>
      </c>
      <c r="B96" s="12" t="s">
        <v>26</v>
      </c>
      <c r="C96" s="12" t="s">
        <v>124</v>
      </c>
      <c r="D96" s="13" t="s">
        <v>35</v>
      </c>
      <c r="E96" s="14" t="s">
        <v>35</v>
      </c>
      <c r="F96" s="14" t="s">
        <v>35</v>
      </c>
      <c r="G96" s="14" t="s">
        <v>35</v>
      </c>
      <c r="H96" s="13">
        <v>202</v>
      </c>
      <c r="I96" s="14">
        <v>934282.72019000002</v>
      </c>
      <c r="J96" s="14">
        <v>3156.4469600000002</v>
      </c>
      <c r="K96" s="14">
        <v>19.53</v>
      </c>
      <c r="L96" s="13" t="s">
        <v>35</v>
      </c>
      <c r="M96" s="14" t="s">
        <v>35</v>
      </c>
      <c r="N96" s="14" t="s">
        <v>35</v>
      </c>
      <c r="O96" s="14" t="s">
        <v>35</v>
      </c>
      <c r="P96" s="13">
        <v>14</v>
      </c>
      <c r="Q96" s="14">
        <v>64727.98603</v>
      </c>
      <c r="R96" s="14">
        <v>2275.23578</v>
      </c>
      <c r="S96" s="14">
        <v>0</v>
      </c>
      <c r="T96" s="15">
        <f t="shared" si="20"/>
        <v>-9.5999999999999943</v>
      </c>
      <c r="U96" s="15">
        <v>195</v>
      </c>
      <c r="V96" s="15">
        <f>V95+50</f>
        <v>4625</v>
      </c>
      <c r="W96" s="15">
        <f t="shared" ref="W96:W121" si="31">U96*V96</f>
        <v>901875</v>
      </c>
      <c r="X96" s="15">
        <f t="shared" ref="X96:X121" si="32">I96</f>
        <v>934282.72019000002</v>
      </c>
      <c r="Y96" s="15">
        <f t="shared" ref="Y96:Y121" si="33">X96-W96</f>
        <v>32407.720190000022</v>
      </c>
      <c r="AA96" s="15" t="str">
        <f t="shared" si="21"/>
        <v>-</v>
      </c>
      <c r="AG96" s="16"/>
      <c r="AH96" s="15" t="str">
        <f t="shared" si="22"/>
        <v>-</v>
      </c>
      <c r="AO96" s="15">
        <f t="shared" si="23"/>
        <v>-1.5999999999999996</v>
      </c>
      <c r="AP96" s="15">
        <f t="shared" si="30"/>
        <v>14.2</v>
      </c>
      <c r="AQ96" s="3" t="e">
        <f t="shared" si="25"/>
        <v>#VALUE!</v>
      </c>
      <c r="AR96" s="15" t="e">
        <f t="shared" si="26"/>
        <v>#VALUE!</v>
      </c>
      <c r="AS96" s="3" t="e">
        <f t="shared" si="27"/>
        <v>#VALUE!</v>
      </c>
      <c r="AT96" s="3" t="e">
        <f t="shared" si="28"/>
        <v>#VALUE!</v>
      </c>
      <c r="AU96" s="16" t="e">
        <f t="shared" si="29"/>
        <v>#VALUE!</v>
      </c>
      <c r="AW96" s="3">
        <f t="shared" si="18"/>
        <v>4600000</v>
      </c>
      <c r="AX96" s="3" t="e">
        <f t="shared" si="19"/>
        <v>#VALUE!</v>
      </c>
    </row>
    <row r="97" spans="1:50" ht="17" thickBot="1" x14ac:dyDescent="0.25">
      <c r="A97" s="5" t="s">
        <v>25</v>
      </c>
      <c r="B97" s="12" t="s">
        <v>26</v>
      </c>
      <c r="C97" s="12" t="s">
        <v>125</v>
      </c>
      <c r="D97" s="13" t="s">
        <v>35</v>
      </c>
      <c r="E97" s="14" t="s">
        <v>35</v>
      </c>
      <c r="F97" s="14" t="s">
        <v>35</v>
      </c>
      <c r="G97" s="14" t="s">
        <v>35</v>
      </c>
      <c r="H97" s="13">
        <v>213</v>
      </c>
      <c r="I97" s="14">
        <v>995938.71716999996</v>
      </c>
      <c r="J97" s="14">
        <v>3173.68435</v>
      </c>
      <c r="K97" s="14">
        <v>19.8</v>
      </c>
      <c r="L97" s="13" t="s">
        <v>35</v>
      </c>
      <c r="M97" s="14" t="s">
        <v>35</v>
      </c>
      <c r="N97" s="14" t="s">
        <v>35</v>
      </c>
      <c r="O97" s="14" t="s">
        <v>35</v>
      </c>
      <c r="P97" s="13">
        <v>18</v>
      </c>
      <c r="Q97" s="14">
        <v>84189.874809999994</v>
      </c>
      <c r="R97" s="14">
        <v>3393.8779500000001</v>
      </c>
      <c r="S97" s="14">
        <v>0</v>
      </c>
      <c r="T97" s="15">
        <f t="shared" si="20"/>
        <v>-11.599999999999994</v>
      </c>
      <c r="U97" s="15">
        <v>195</v>
      </c>
      <c r="V97" s="15">
        <f t="shared" ref="V97:V120" si="34">V96+50</f>
        <v>4675</v>
      </c>
      <c r="W97" s="15">
        <f t="shared" si="31"/>
        <v>911625</v>
      </c>
      <c r="X97" s="15">
        <f t="shared" si="32"/>
        <v>995938.71716999996</v>
      </c>
      <c r="Y97" s="15">
        <f t="shared" si="33"/>
        <v>84313.71716999996</v>
      </c>
      <c r="AA97" s="15" t="str">
        <f t="shared" si="21"/>
        <v>-</v>
      </c>
      <c r="AG97" s="16"/>
      <c r="AH97" s="15" t="str">
        <f t="shared" si="22"/>
        <v>-</v>
      </c>
      <c r="AO97" s="15">
        <f t="shared" si="23"/>
        <v>-1.4000000000000004</v>
      </c>
      <c r="AP97" s="15">
        <f t="shared" si="30"/>
        <v>14.2</v>
      </c>
      <c r="AQ97" s="3" t="e">
        <f t="shared" si="25"/>
        <v>#VALUE!</v>
      </c>
      <c r="AR97" s="15" t="e">
        <f t="shared" si="26"/>
        <v>#VALUE!</v>
      </c>
      <c r="AS97" s="3" t="e">
        <f t="shared" si="27"/>
        <v>#VALUE!</v>
      </c>
      <c r="AT97" s="3" t="e">
        <f t="shared" si="28"/>
        <v>#VALUE!</v>
      </c>
      <c r="AU97" s="16" t="e">
        <f t="shared" si="29"/>
        <v>#VALUE!</v>
      </c>
      <c r="AW97" s="3">
        <f t="shared" si="18"/>
        <v>4650000</v>
      </c>
      <c r="AX97" s="3" t="e">
        <f t="shared" si="19"/>
        <v>#VALUE!</v>
      </c>
    </row>
    <row r="98" spans="1:50" ht="17" thickBot="1" x14ac:dyDescent="0.25">
      <c r="A98" s="5" t="s">
        <v>25</v>
      </c>
      <c r="B98" s="12" t="s">
        <v>26</v>
      </c>
      <c r="C98" s="12" t="s">
        <v>126</v>
      </c>
      <c r="D98" s="13" t="s">
        <v>35</v>
      </c>
      <c r="E98" s="14" t="s">
        <v>35</v>
      </c>
      <c r="F98" s="14" t="s">
        <v>35</v>
      </c>
      <c r="G98" s="14" t="s">
        <v>35</v>
      </c>
      <c r="H98" s="13">
        <v>193</v>
      </c>
      <c r="I98" s="14">
        <v>911978.94735999999</v>
      </c>
      <c r="J98" s="14">
        <v>2808.0151500000002</v>
      </c>
      <c r="K98" s="14">
        <v>24.176380000000002</v>
      </c>
      <c r="L98" s="13" t="s">
        <v>35</v>
      </c>
      <c r="M98" s="14" t="s">
        <v>35</v>
      </c>
      <c r="N98" s="14" t="s">
        <v>35</v>
      </c>
      <c r="O98" s="14" t="s">
        <v>35</v>
      </c>
      <c r="P98" s="13">
        <v>19</v>
      </c>
      <c r="Q98" s="14">
        <v>89743.532009999995</v>
      </c>
      <c r="R98" s="14">
        <v>2785.0476100000001</v>
      </c>
      <c r="S98" s="14">
        <v>0</v>
      </c>
      <c r="T98" s="15">
        <f t="shared" si="20"/>
        <v>-31.199999999999989</v>
      </c>
      <c r="U98" s="15">
        <v>195</v>
      </c>
      <c r="V98" s="15">
        <f t="shared" si="34"/>
        <v>4725</v>
      </c>
      <c r="W98" s="15">
        <f t="shared" si="31"/>
        <v>921375</v>
      </c>
      <c r="X98" s="15">
        <f t="shared" si="32"/>
        <v>911978.94735999999</v>
      </c>
      <c r="Y98" s="27">
        <f t="shared" si="33"/>
        <v>-9396.052640000009</v>
      </c>
      <c r="AA98" s="15" t="str">
        <f t="shared" si="21"/>
        <v>-</v>
      </c>
      <c r="AG98" s="16"/>
      <c r="AH98" s="15" t="str">
        <f t="shared" si="22"/>
        <v>-</v>
      </c>
      <c r="AO98" s="15">
        <f t="shared" si="23"/>
        <v>-0.40000000000000036</v>
      </c>
      <c r="AP98" s="15">
        <f t="shared" si="30"/>
        <v>14.2</v>
      </c>
      <c r="AQ98" s="3" t="e">
        <f t="shared" si="25"/>
        <v>#VALUE!</v>
      </c>
      <c r="AR98" s="15">
        <f t="shared" si="26"/>
        <v>0</v>
      </c>
      <c r="AS98" s="3">
        <f t="shared" si="27"/>
        <v>0</v>
      </c>
      <c r="AT98" s="3">
        <f t="shared" si="28"/>
        <v>0</v>
      </c>
      <c r="AU98" s="16" t="e">
        <f t="shared" si="29"/>
        <v>#VALUE!</v>
      </c>
      <c r="AW98" s="3">
        <f t="shared" si="18"/>
        <v>4700000</v>
      </c>
      <c r="AX98" s="3" t="e">
        <f t="shared" si="19"/>
        <v>#VALUE!</v>
      </c>
    </row>
    <row r="99" spans="1:50" ht="17" thickBot="1" x14ac:dyDescent="0.25">
      <c r="A99" s="5" t="s">
        <v>25</v>
      </c>
      <c r="B99" s="12" t="s">
        <v>26</v>
      </c>
      <c r="C99" s="12" t="s">
        <v>127</v>
      </c>
      <c r="D99" s="13" t="s">
        <v>35</v>
      </c>
      <c r="E99" s="14" t="s">
        <v>35</v>
      </c>
      <c r="F99" s="14" t="s">
        <v>35</v>
      </c>
      <c r="G99" s="14" t="s">
        <v>35</v>
      </c>
      <c r="H99" s="13">
        <v>172</v>
      </c>
      <c r="I99" s="14">
        <v>821507.72884</v>
      </c>
      <c r="J99" s="14">
        <v>2553.4412400000001</v>
      </c>
      <c r="K99" s="14">
        <v>14.3</v>
      </c>
      <c r="L99" s="13" t="s">
        <v>35</v>
      </c>
      <c r="M99" s="14" t="s">
        <v>35</v>
      </c>
      <c r="N99" s="14" t="s">
        <v>35</v>
      </c>
      <c r="O99" s="14" t="s">
        <v>35</v>
      </c>
      <c r="P99" s="13">
        <v>16</v>
      </c>
      <c r="Q99" s="14">
        <v>76414.781640000001</v>
      </c>
      <c r="R99" s="14">
        <v>2928.4245799999999</v>
      </c>
      <c r="S99" s="14">
        <v>0.71</v>
      </c>
      <c r="T99" s="15">
        <f t="shared" si="20"/>
        <v>-55.199999999999989</v>
      </c>
      <c r="U99" s="15">
        <v>195</v>
      </c>
      <c r="V99" s="15">
        <f t="shared" si="34"/>
        <v>4775</v>
      </c>
      <c r="W99" s="15">
        <f t="shared" si="31"/>
        <v>931125</v>
      </c>
      <c r="X99" s="15">
        <f t="shared" si="32"/>
        <v>821507.72884</v>
      </c>
      <c r="Y99" s="27">
        <f t="shared" si="33"/>
        <v>-109617.27116</v>
      </c>
      <c r="AA99" s="15" t="str">
        <f t="shared" si="21"/>
        <v>-</v>
      </c>
      <c r="AG99" s="16"/>
      <c r="AH99" s="15" t="str">
        <f t="shared" si="22"/>
        <v>-</v>
      </c>
      <c r="AO99" s="15">
        <f t="shared" si="23"/>
        <v>0.40000000000000036</v>
      </c>
      <c r="AP99" s="15">
        <f t="shared" si="30"/>
        <v>14.2</v>
      </c>
      <c r="AQ99" s="3" t="e">
        <f t="shared" si="25"/>
        <v>#VALUE!</v>
      </c>
      <c r="AR99" s="15">
        <f t="shared" si="26"/>
        <v>0</v>
      </c>
      <c r="AS99" s="3">
        <f t="shared" si="27"/>
        <v>0</v>
      </c>
      <c r="AT99" s="3">
        <f t="shared" si="28"/>
        <v>0</v>
      </c>
      <c r="AU99" s="16" t="e">
        <f t="shared" si="29"/>
        <v>#VALUE!</v>
      </c>
      <c r="AW99" s="3">
        <f t="shared" si="18"/>
        <v>4750000</v>
      </c>
      <c r="AX99" s="3" t="e">
        <f t="shared" si="19"/>
        <v>#VALUE!</v>
      </c>
    </row>
    <row r="100" spans="1:50" ht="17" thickBot="1" x14ac:dyDescent="0.25">
      <c r="A100" s="5" t="s">
        <v>25</v>
      </c>
      <c r="B100" s="12" t="s">
        <v>26</v>
      </c>
      <c r="C100" s="12" t="s">
        <v>128</v>
      </c>
      <c r="D100" s="13" t="s">
        <v>35</v>
      </c>
      <c r="E100" s="14" t="s">
        <v>35</v>
      </c>
      <c r="F100" s="14" t="s">
        <v>35</v>
      </c>
      <c r="G100" s="14" t="s">
        <v>35</v>
      </c>
      <c r="H100" s="13">
        <v>218</v>
      </c>
      <c r="I100" s="14">
        <v>1051749.0897900001</v>
      </c>
      <c r="J100" s="14">
        <v>3360.7130099999999</v>
      </c>
      <c r="K100" s="14">
        <v>21.85</v>
      </c>
      <c r="L100" s="13" t="s">
        <v>35</v>
      </c>
      <c r="M100" s="14" t="s">
        <v>35</v>
      </c>
      <c r="N100" s="14" t="s">
        <v>35</v>
      </c>
      <c r="O100" s="14" t="s">
        <v>35</v>
      </c>
      <c r="P100" s="13">
        <v>12</v>
      </c>
      <c r="Q100" s="14">
        <v>57931.385840000003</v>
      </c>
      <c r="R100" s="14">
        <v>2515.4688000000001</v>
      </c>
      <c r="S100" s="14">
        <v>3.0674000000000001</v>
      </c>
      <c r="T100" s="15">
        <f t="shared" si="20"/>
        <v>-55.200000000000017</v>
      </c>
      <c r="U100" s="15">
        <v>195</v>
      </c>
      <c r="V100" s="15">
        <f t="shared" si="34"/>
        <v>4825</v>
      </c>
      <c r="W100" s="15">
        <f t="shared" si="31"/>
        <v>940875</v>
      </c>
      <c r="X100" s="15">
        <f t="shared" si="32"/>
        <v>1051749.0897900001</v>
      </c>
      <c r="Y100" s="15">
        <f t="shared" si="33"/>
        <v>110874.08979000011</v>
      </c>
      <c r="AA100" s="15" t="str">
        <f t="shared" si="21"/>
        <v>-</v>
      </c>
      <c r="AG100" s="16"/>
      <c r="AH100" s="15" t="str">
        <f t="shared" si="22"/>
        <v>-</v>
      </c>
      <c r="AO100" s="15">
        <f t="shared" si="23"/>
        <v>-2</v>
      </c>
      <c r="AP100" s="15">
        <f t="shared" si="30"/>
        <v>14.2</v>
      </c>
      <c r="AQ100" s="3" t="e">
        <f t="shared" si="25"/>
        <v>#VALUE!</v>
      </c>
      <c r="AR100" s="15" t="e">
        <f t="shared" si="26"/>
        <v>#VALUE!</v>
      </c>
      <c r="AS100" s="3" t="e">
        <f t="shared" si="27"/>
        <v>#VALUE!</v>
      </c>
      <c r="AT100" s="3" t="e">
        <f t="shared" si="28"/>
        <v>#VALUE!</v>
      </c>
      <c r="AU100" s="16" t="e">
        <f t="shared" si="29"/>
        <v>#VALUE!</v>
      </c>
      <c r="AW100" s="3">
        <f t="shared" si="18"/>
        <v>4800000</v>
      </c>
      <c r="AX100" s="3" t="e">
        <f t="shared" si="19"/>
        <v>#VALUE!</v>
      </c>
    </row>
    <row r="101" spans="1:50" ht="17" thickBot="1" x14ac:dyDescent="0.25">
      <c r="A101" s="5" t="s">
        <v>25</v>
      </c>
      <c r="B101" s="12" t="s">
        <v>26</v>
      </c>
      <c r="C101" s="12" t="s">
        <v>129</v>
      </c>
      <c r="D101" s="13" t="s">
        <v>35</v>
      </c>
      <c r="E101" s="14" t="s">
        <v>35</v>
      </c>
      <c r="F101" s="14" t="s">
        <v>35</v>
      </c>
      <c r="G101" s="14" t="s">
        <v>35</v>
      </c>
      <c r="H101" s="13">
        <v>227</v>
      </c>
      <c r="I101" s="14">
        <v>1106751.7732599999</v>
      </c>
      <c r="J101" s="14">
        <v>3237.7690299999999</v>
      </c>
      <c r="K101" s="14">
        <v>28.7</v>
      </c>
      <c r="L101" s="13" t="s">
        <v>35</v>
      </c>
      <c r="M101" s="14" t="s">
        <v>35</v>
      </c>
      <c r="N101" s="14" t="s">
        <v>35</v>
      </c>
      <c r="O101" s="14" t="s">
        <v>35</v>
      </c>
      <c r="P101" s="13">
        <v>13</v>
      </c>
      <c r="Q101" s="14">
        <v>63393.607129999997</v>
      </c>
      <c r="R101" s="14">
        <v>1742.20643</v>
      </c>
      <c r="S101" s="14">
        <v>0</v>
      </c>
      <c r="T101" s="15">
        <f t="shared" si="20"/>
        <v>-60.599999999999994</v>
      </c>
      <c r="U101" s="15">
        <v>195</v>
      </c>
      <c r="V101" s="15">
        <f t="shared" si="34"/>
        <v>4875</v>
      </c>
      <c r="W101" s="15">
        <f t="shared" si="31"/>
        <v>950625</v>
      </c>
      <c r="X101" s="15">
        <f t="shared" si="32"/>
        <v>1106751.7732599999</v>
      </c>
      <c r="Y101" s="15">
        <f t="shared" si="33"/>
        <v>156126.77325999993</v>
      </c>
      <c r="AA101" s="15" t="str">
        <f t="shared" si="21"/>
        <v>-</v>
      </c>
      <c r="AG101" s="16"/>
      <c r="AH101" s="15" t="str">
        <f t="shared" si="22"/>
        <v>-</v>
      </c>
      <c r="AO101" s="15">
        <f t="shared" si="23"/>
        <v>-3.7999999999999989</v>
      </c>
      <c r="AP101" s="15">
        <f t="shared" si="30"/>
        <v>14.2</v>
      </c>
      <c r="AQ101" s="3" t="e">
        <f t="shared" si="25"/>
        <v>#VALUE!</v>
      </c>
      <c r="AR101" s="15" t="e">
        <f t="shared" si="26"/>
        <v>#VALUE!</v>
      </c>
      <c r="AS101" s="3" t="e">
        <f t="shared" si="27"/>
        <v>#VALUE!</v>
      </c>
      <c r="AT101" s="3" t="e">
        <f t="shared" si="28"/>
        <v>#VALUE!</v>
      </c>
      <c r="AU101" s="16" t="e">
        <f t="shared" si="29"/>
        <v>#VALUE!</v>
      </c>
      <c r="AW101" s="3">
        <f t="shared" si="18"/>
        <v>4850000</v>
      </c>
      <c r="AX101" s="3" t="e">
        <f t="shared" si="19"/>
        <v>#VALUE!</v>
      </c>
    </row>
    <row r="102" spans="1:50" ht="17" thickBot="1" x14ac:dyDescent="0.25">
      <c r="A102" s="5" t="s">
        <v>25</v>
      </c>
      <c r="B102" s="12" t="s">
        <v>26</v>
      </c>
      <c r="C102" s="12" t="s">
        <v>130</v>
      </c>
      <c r="D102" s="13" t="s">
        <v>35</v>
      </c>
      <c r="E102" s="14" t="s">
        <v>35</v>
      </c>
      <c r="F102" s="14" t="s">
        <v>35</v>
      </c>
      <c r="G102" s="14" t="s">
        <v>35</v>
      </c>
      <c r="H102" s="13">
        <v>263</v>
      </c>
      <c r="I102" s="14">
        <v>1295265.41512</v>
      </c>
      <c r="J102" s="14">
        <v>4083.04232</v>
      </c>
      <c r="K102" s="14">
        <v>23.8</v>
      </c>
      <c r="L102" s="13" t="s">
        <v>35</v>
      </c>
      <c r="M102" s="14" t="s">
        <v>35</v>
      </c>
      <c r="N102" s="14" t="s">
        <v>35</v>
      </c>
      <c r="O102" s="14" t="s">
        <v>35</v>
      </c>
      <c r="P102" s="13">
        <v>15</v>
      </c>
      <c r="Q102" s="14">
        <v>73833.738500000007</v>
      </c>
      <c r="R102" s="14">
        <v>2586.9322099999999</v>
      </c>
      <c r="S102" s="14">
        <v>0.71</v>
      </c>
      <c r="T102" s="15">
        <f t="shared" si="20"/>
        <v>-57.200000000000017</v>
      </c>
      <c r="U102" s="15">
        <v>195</v>
      </c>
      <c r="V102" s="15">
        <f t="shared" si="34"/>
        <v>4925</v>
      </c>
      <c r="W102" s="15">
        <f t="shared" si="31"/>
        <v>960375</v>
      </c>
      <c r="X102" s="15">
        <f t="shared" si="32"/>
        <v>1295265.41512</v>
      </c>
      <c r="Y102" s="15">
        <f t="shared" si="33"/>
        <v>334890.41512000002</v>
      </c>
      <c r="AA102" s="15" t="str">
        <f t="shared" si="21"/>
        <v>-</v>
      </c>
      <c r="AG102" s="16"/>
      <c r="AH102" s="15" t="str">
        <f t="shared" si="22"/>
        <v>-</v>
      </c>
      <c r="AO102" s="15">
        <f t="shared" si="23"/>
        <v>-6</v>
      </c>
      <c r="AP102" s="15">
        <f t="shared" si="30"/>
        <v>14.2</v>
      </c>
      <c r="AQ102" s="3" t="e">
        <f t="shared" si="25"/>
        <v>#VALUE!</v>
      </c>
      <c r="AR102" s="15" t="e">
        <f t="shared" si="26"/>
        <v>#VALUE!</v>
      </c>
      <c r="AS102" s="3" t="e">
        <f t="shared" si="27"/>
        <v>#VALUE!</v>
      </c>
      <c r="AT102" s="3" t="e">
        <f t="shared" si="28"/>
        <v>#VALUE!</v>
      </c>
      <c r="AU102" s="16" t="e">
        <f t="shared" si="29"/>
        <v>#VALUE!</v>
      </c>
      <c r="AW102" s="3">
        <f t="shared" si="18"/>
        <v>4900000</v>
      </c>
      <c r="AX102" s="3" t="e">
        <f t="shared" si="19"/>
        <v>#VALUE!</v>
      </c>
    </row>
    <row r="103" spans="1:50" ht="17" thickBot="1" x14ac:dyDescent="0.25">
      <c r="A103" s="5" t="s">
        <v>25</v>
      </c>
      <c r="B103" s="12" t="s">
        <v>26</v>
      </c>
      <c r="C103" s="12" t="s">
        <v>131</v>
      </c>
      <c r="D103" s="13" t="s">
        <v>35</v>
      </c>
      <c r="E103" s="14" t="s">
        <v>35</v>
      </c>
      <c r="F103" s="14" t="s">
        <v>35</v>
      </c>
      <c r="G103" s="14" t="s">
        <v>35</v>
      </c>
      <c r="H103" s="13">
        <v>281</v>
      </c>
      <c r="I103" s="14">
        <v>1398160.26458</v>
      </c>
      <c r="J103" s="14">
        <v>4223.3287600000003</v>
      </c>
      <c r="K103" s="14">
        <v>23.62</v>
      </c>
      <c r="L103" s="13" t="s">
        <v>35</v>
      </c>
      <c r="M103" s="14" t="s">
        <v>35</v>
      </c>
      <c r="N103" s="14" t="s">
        <v>35</v>
      </c>
      <c r="O103" s="14" t="s">
        <v>35</v>
      </c>
      <c r="P103" s="13">
        <v>21</v>
      </c>
      <c r="Q103" s="14">
        <v>104506.05695</v>
      </c>
      <c r="R103" s="14">
        <v>2817.98036</v>
      </c>
      <c r="S103" s="14">
        <v>0</v>
      </c>
      <c r="T103" s="15">
        <f t="shared" si="20"/>
        <v>-50.400000000000034</v>
      </c>
      <c r="U103" s="15">
        <v>195</v>
      </c>
      <c r="V103" s="15">
        <f t="shared" si="34"/>
        <v>4975</v>
      </c>
      <c r="W103" s="15">
        <f t="shared" si="31"/>
        <v>970125</v>
      </c>
      <c r="X103" s="15">
        <f t="shared" si="32"/>
        <v>1398160.26458</v>
      </c>
      <c r="Y103" s="15">
        <f t="shared" si="33"/>
        <v>428035.26457999996</v>
      </c>
      <c r="AA103" s="15" t="str">
        <f t="shared" si="21"/>
        <v>-</v>
      </c>
      <c r="AG103" s="16"/>
      <c r="AH103" s="15" t="str">
        <f t="shared" si="22"/>
        <v>-</v>
      </c>
      <c r="AO103" s="15">
        <f t="shared" si="23"/>
        <v>-5.2000000000000011</v>
      </c>
      <c r="AP103" s="15">
        <f t="shared" si="30"/>
        <v>14.2</v>
      </c>
      <c r="AQ103" s="3" t="e">
        <f t="shared" si="25"/>
        <v>#VALUE!</v>
      </c>
      <c r="AR103" s="15" t="e">
        <f t="shared" si="26"/>
        <v>#VALUE!</v>
      </c>
      <c r="AS103" s="3" t="e">
        <f t="shared" si="27"/>
        <v>#VALUE!</v>
      </c>
      <c r="AT103" s="3" t="e">
        <f t="shared" si="28"/>
        <v>#VALUE!</v>
      </c>
      <c r="AU103" s="16" t="e">
        <f t="shared" si="29"/>
        <v>#VALUE!</v>
      </c>
      <c r="AW103" s="3">
        <f t="shared" si="18"/>
        <v>4950000</v>
      </c>
      <c r="AX103" s="3" t="e">
        <f t="shared" si="19"/>
        <v>#VALUE!</v>
      </c>
    </row>
    <row r="104" spans="1:50" ht="17" thickBot="1" x14ac:dyDescent="0.25">
      <c r="A104" s="5" t="s">
        <v>25</v>
      </c>
      <c r="B104" s="12" t="s">
        <v>26</v>
      </c>
      <c r="C104" s="12" t="s">
        <v>132</v>
      </c>
      <c r="D104" s="13" t="s">
        <v>35</v>
      </c>
      <c r="E104" s="14" t="s">
        <v>35</v>
      </c>
      <c r="F104" s="14" t="s">
        <v>35</v>
      </c>
      <c r="G104" s="14" t="s">
        <v>35</v>
      </c>
      <c r="H104" s="13">
        <v>256</v>
      </c>
      <c r="I104" s="14">
        <v>1286698.6616</v>
      </c>
      <c r="J104" s="14">
        <v>3778.3450899999998</v>
      </c>
      <c r="K104" s="14">
        <v>25.84</v>
      </c>
      <c r="L104" s="13" t="s">
        <v>35</v>
      </c>
      <c r="M104" s="14" t="s">
        <v>35</v>
      </c>
      <c r="N104" s="14" t="s">
        <v>35</v>
      </c>
      <c r="O104" s="14" t="s">
        <v>35</v>
      </c>
      <c r="P104" s="13">
        <v>14</v>
      </c>
      <c r="Q104" s="14">
        <v>70310.660520000005</v>
      </c>
      <c r="R104" s="14">
        <v>2468.10869</v>
      </c>
      <c r="S104" s="14">
        <v>0</v>
      </c>
      <c r="T104" s="15">
        <f t="shared" si="20"/>
        <v>-46.800000000000011</v>
      </c>
      <c r="U104" s="15">
        <v>195</v>
      </c>
      <c r="V104" s="15">
        <f t="shared" si="34"/>
        <v>5025</v>
      </c>
      <c r="W104" s="15">
        <f t="shared" si="31"/>
        <v>979875</v>
      </c>
      <c r="X104" s="15">
        <f t="shared" si="32"/>
        <v>1286698.6616</v>
      </c>
      <c r="Y104" s="15">
        <f t="shared" si="33"/>
        <v>306823.66159999999</v>
      </c>
      <c r="AA104" s="15" t="str">
        <f t="shared" si="21"/>
        <v>-</v>
      </c>
      <c r="AG104" s="16"/>
      <c r="AH104" s="15" t="str">
        <f t="shared" si="22"/>
        <v>-</v>
      </c>
      <c r="AO104" s="15">
        <f t="shared" si="23"/>
        <v>-6.3999999999999986</v>
      </c>
      <c r="AP104" s="15">
        <f t="shared" si="30"/>
        <v>14.2</v>
      </c>
      <c r="AQ104" s="3" t="e">
        <f t="shared" si="25"/>
        <v>#VALUE!</v>
      </c>
      <c r="AR104" s="15" t="e">
        <f t="shared" si="26"/>
        <v>#VALUE!</v>
      </c>
      <c r="AS104" s="3" t="e">
        <f t="shared" si="27"/>
        <v>#VALUE!</v>
      </c>
      <c r="AT104" s="3" t="e">
        <f t="shared" si="28"/>
        <v>#VALUE!</v>
      </c>
      <c r="AU104" s="16" t="e">
        <f t="shared" si="29"/>
        <v>#VALUE!</v>
      </c>
      <c r="AW104" s="3">
        <f t="shared" si="18"/>
        <v>5000000</v>
      </c>
      <c r="AX104" s="3" t="e">
        <f t="shared" si="19"/>
        <v>#VALUE!</v>
      </c>
    </row>
    <row r="105" spans="1:50" ht="17" thickBot="1" x14ac:dyDescent="0.25">
      <c r="A105" s="5" t="s">
        <v>25</v>
      </c>
      <c r="B105" s="12" t="s">
        <v>26</v>
      </c>
      <c r="C105" s="12" t="s">
        <v>133</v>
      </c>
      <c r="D105" s="13" t="s">
        <v>35</v>
      </c>
      <c r="E105" s="14" t="s">
        <v>35</v>
      </c>
      <c r="F105" s="14" t="s">
        <v>35</v>
      </c>
      <c r="G105" s="14" t="s">
        <v>35</v>
      </c>
      <c r="H105" s="13">
        <v>247</v>
      </c>
      <c r="I105" s="14">
        <v>1253521.3064999999</v>
      </c>
      <c r="J105" s="14">
        <v>3663.8180900000002</v>
      </c>
      <c r="K105" s="14">
        <v>38</v>
      </c>
      <c r="L105" s="13" t="s">
        <v>35</v>
      </c>
      <c r="M105" s="14" t="s">
        <v>35</v>
      </c>
      <c r="N105" s="14" t="s">
        <v>35</v>
      </c>
      <c r="O105" s="14" t="s">
        <v>35</v>
      </c>
      <c r="P105" s="13">
        <v>26</v>
      </c>
      <c r="Q105" s="14">
        <v>131848.59722</v>
      </c>
      <c r="R105" s="14">
        <v>3743.82296</v>
      </c>
      <c r="S105" s="14">
        <v>0</v>
      </c>
      <c r="T105" s="15">
        <f t="shared" si="20"/>
        <v>-69.399999999999977</v>
      </c>
      <c r="U105" s="15">
        <v>195</v>
      </c>
      <c r="V105" s="15">
        <f t="shared" si="34"/>
        <v>5075</v>
      </c>
      <c r="W105" s="15">
        <f t="shared" si="31"/>
        <v>989625</v>
      </c>
      <c r="X105" s="15">
        <f t="shared" si="32"/>
        <v>1253521.3064999999</v>
      </c>
      <c r="Y105" s="15">
        <f t="shared" si="33"/>
        <v>263896.30649999995</v>
      </c>
      <c r="AA105" s="15" t="str">
        <f t="shared" si="21"/>
        <v>-</v>
      </c>
      <c r="AG105" s="16"/>
      <c r="AH105" s="15" t="str">
        <f t="shared" si="22"/>
        <v>-</v>
      </c>
      <c r="AO105" s="15">
        <f t="shared" si="23"/>
        <v>-3.5999999999999979</v>
      </c>
      <c r="AP105" s="15">
        <f t="shared" si="30"/>
        <v>14.2</v>
      </c>
      <c r="AQ105" s="3" t="e">
        <f t="shared" si="25"/>
        <v>#VALUE!</v>
      </c>
      <c r="AR105" s="15" t="e">
        <f t="shared" si="26"/>
        <v>#VALUE!</v>
      </c>
      <c r="AS105" s="3" t="e">
        <f t="shared" si="27"/>
        <v>#VALUE!</v>
      </c>
      <c r="AT105" s="3" t="e">
        <f t="shared" si="28"/>
        <v>#VALUE!</v>
      </c>
      <c r="AU105" s="16" t="e">
        <f t="shared" si="29"/>
        <v>#VALUE!</v>
      </c>
      <c r="AW105" s="3">
        <f t="shared" si="18"/>
        <v>5050000</v>
      </c>
      <c r="AX105" s="3" t="e">
        <f t="shared" si="19"/>
        <v>#VALUE!</v>
      </c>
    </row>
    <row r="106" spans="1:50" ht="17" thickBot="1" x14ac:dyDescent="0.25">
      <c r="A106" s="5" t="s">
        <v>25</v>
      </c>
      <c r="B106" s="12" t="s">
        <v>26</v>
      </c>
      <c r="C106" s="12" t="s">
        <v>134</v>
      </c>
      <c r="D106" s="13" t="s">
        <v>35</v>
      </c>
      <c r="E106" s="14" t="s">
        <v>35</v>
      </c>
      <c r="F106" s="14" t="s">
        <v>35</v>
      </c>
      <c r="G106" s="14" t="s">
        <v>35</v>
      </c>
      <c r="H106" s="13">
        <v>279</v>
      </c>
      <c r="I106" s="14">
        <v>1429993.87558</v>
      </c>
      <c r="J106" s="14">
        <v>4131.6267699999999</v>
      </c>
      <c r="K106" s="14">
        <v>27.27</v>
      </c>
      <c r="L106" s="13" t="s">
        <v>35</v>
      </c>
      <c r="M106" s="14" t="s">
        <v>35</v>
      </c>
      <c r="N106" s="14" t="s">
        <v>35</v>
      </c>
      <c r="O106" s="14" t="s">
        <v>35</v>
      </c>
      <c r="P106" s="13">
        <v>21</v>
      </c>
      <c r="Q106" s="14">
        <v>107552.60592</v>
      </c>
      <c r="R106" s="14">
        <v>2754.83689</v>
      </c>
      <c r="S106" s="14">
        <v>0</v>
      </c>
      <c r="T106" s="15">
        <f t="shared" si="20"/>
        <v>-83.600000000000023</v>
      </c>
      <c r="U106" s="15">
        <v>195</v>
      </c>
      <c r="V106" s="15">
        <f t="shared" si="34"/>
        <v>5125</v>
      </c>
      <c r="W106" s="15">
        <f t="shared" si="31"/>
        <v>999375</v>
      </c>
      <c r="X106" s="15">
        <f t="shared" si="32"/>
        <v>1429993.87558</v>
      </c>
      <c r="Y106" s="15">
        <f t="shared" si="33"/>
        <v>430618.87557999999</v>
      </c>
      <c r="AA106" s="15" t="str">
        <f t="shared" si="21"/>
        <v>-</v>
      </c>
      <c r="AG106" s="16"/>
      <c r="AH106" s="15" t="str">
        <f t="shared" si="22"/>
        <v>-</v>
      </c>
      <c r="AO106" s="15">
        <f t="shared" si="23"/>
        <v>-3</v>
      </c>
      <c r="AP106" s="15">
        <f t="shared" si="30"/>
        <v>14.2</v>
      </c>
      <c r="AQ106" s="3" t="e">
        <f t="shared" si="25"/>
        <v>#VALUE!</v>
      </c>
      <c r="AR106" s="15" t="e">
        <f t="shared" si="26"/>
        <v>#VALUE!</v>
      </c>
      <c r="AS106" s="3" t="e">
        <f t="shared" si="27"/>
        <v>#VALUE!</v>
      </c>
      <c r="AT106" s="3" t="e">
        <f t="shared" si="28"/>
        <v>#VALUE!</v>
      </c>
      <c r="AU106" s="16" t="e">
        <f t="shared" si="29"/>
        <v>#VALUE!</v>
      </c>
      <c r="AW106" s="3">
        <f t="shared" si="18"/>
        <v>5100000</v>
      </c>
      <c r="AX106" s="3" t="e">
        <f t="shared" si="19"/>
        <v>#VALUE!</v>
      </c>
    </row>
    <row r="107" spans="1:50" ht="17" thickBot="1" x14ac:dyDescent="0.25">
      <c r="A107" s="5" t="s">
        <v>25</v>
      </c>
      <c r="B107" s="12" t="s">
        <v>26</v>
      </c>
      <c r="C107" s="12" t="s">
        <v>135</v>
      </c>
      <c r="D107" s="13" t="s">
        <v>35</v>
      </c>
      <c r="E107" s="14" t="s">
        <v>35</v>
      </c>
      <c r="F107" s="14" t="s">
        <v>35</v>
      </c>
      <c r="G107" s="14" t="s">
        <v>35</v>
      </c>
      <c r="H107" s="13">
        <v>296</v>
      </c>
      <c r="I107" s="14">
        <v>1531622.0324899999</v>
      </c>
      <c r="J107" s="14">
        <v>4674.5711000000001</v>
      </c>
      <c r="K107" s="14">
        <v>36.409999999999997</v>
      </c>
      <c r="L107" s="13" t="s">
        <v>35</v>
      </c>
      <c r="M107" s="14" t="s">
        <v>35</v>
      </c>
      <c r="N107" s="14" t="s">
        <v>35</v>
      </c>
      <c r="O107" s="14" t="s">
        <v>35</v>
      </c>
      <c r="P107" s="13">
        <v>23</v>
      </c>
      <c r="Q107" s="14">
        <v>118903.72215</v>
      </c>
      <c r="R107" s="14">
        <v>3156.4928799999998</v>
      </c>
      <c r="S107" s="14">
        <v>2.4</v>
      </c>
      <c r="T107" s="15">
        <f t="shared" si="20"/>
        <v>-110.59999999999997</v>
      </c>
      <c r="U107" s="15">
        <v>195</v>
      </c>
      <c r="V107" s="15">
        <f t="shared" si="34"/>
        <v>5175</v>
      </c>
      <c r="W107" s="15">
        <f t="shared" si="31"/>
        <v>1009125</v>
      </c>
      <c r="X107" s="15">
        <f t="shared" si="32"/>
        <v>1531622.0324899999</v>
      </c>
      <c r="Y107" s="15">
        <f t="shared" si="33"/>
        <v>522497.0324899999</v>
      </c>
      <c r="AA107" s="15" t="str">
        <f t="shared" si="21"/>
        <v>-</v>
      </c>
      <c r="AG107" s="16"/>
      <c r="AH107" s="15" t="str">
        <f t="shared" si="22"/>
        <v>-</v>
      </c>
      <c r="AO107" s="15">
        <f t="shared" si="23"/>
        <v>-3.6000000000000014</v>
      </c>
      <c r="AP107" s="15">
        <f t="shared" si="30"/>
        <v>14.2</v>
      </c>
      <c r="AQ107" s="3" t="e">
        <f t="shared" si="25"/>
        <v>#VALUE!</v>
      </c>
      <c r="AR107" s="15" t="e">
        <f t="shared" si="26"/>
        <v>#VALUE!</v>
      </c>
      <c r="AS107" s="3" t="e">
        <f t="shared" si="27"/>
        <v>#VALUE!</v>
      </c>
      <c r="AT107" s="3" t="e">
        <f t="shared" si="28"/>
        <v>#VALUE!</v>
      </c>
      <c r="AU107" s="16" t="e">
        <f t="shared" si="29"/>
        <v>#VALUE!</v>
      </c>
      <c r="AW107" s="3">
        <f t="shared" si="18"/>
        <v>5150000</v>
      </c>
      <c r="AX107" s="3" t="e">
        <f t="shared" si="19"/>
        <v>#VALUE!</v>
      </c>
    </row>
    <row r="108" spans="1:50" ht="17" thickBot="1" x14ac:dyDescent="0.25">
      <c r="A108" s="5" t="s">
        <v>25</v>
      </c>
      <c r="B108" s="12" t="s">
        <v>26</v>
      </c>
      <c r="C108" s="12" t="s">
        <v>136</v>
      </c>
      <c r="D108" s="13" t="s">
        <v>35</v>
      </c>
      <c r="E108" s="14" t="s">
        <v>35</v>
      </c>
      <c r="F108" s="14" t="s">
        <v>35</v>
      </c>
      <c r="G108" s="14" t="s">
        <v>35</v>
      </c>
      <c r="H108" s="13">
        <v>335</v>
      </c>
      <c r="I108" s="14">
        <v>1749769.5837300001</v>
      </c>
      <c r="J108" s="14">
        <v>4920.0829800000001</v>
      </c>
      <c r="K108" s="14">
        <v>55.16</v>
      </c>
      <c r="L108" s="13">
        <v>1</v>
      </c>
      <c r="M108" s="14">
        <v>5230.7462100000002</v>
      </c>
      <c r="N108" s="14">
        <v>158.26239000000001</v>
      </c>
      <c r="O108" s="14">
        <v>0</v>
      </c>
      <c r="P108" s="13">
        <v>19</v>
      </c>
      <c r="Q108" s="14">
        <v>99186.986040000003</v>
      </c>
      <c r="R108" s="14">
        <v>1979.67282</v>
      </c>
      <c r="S108" s="14">
        <v>0</v>
      </c>
      <c r="T108" s="15">
        <f t="shared" si="20"/>
        <v>-127</v>
      </c>
      <c r="U108" s="15">
        <v>195</v>
      </c>
      <c r="V108" s="15">
        <f t="shared" si="34"/>
        <v>5225</v>
      </c>
      <c r="W108" s="15">
        <f t="shared" si="31"/>
        <v>1018875</v>
      </c>
      <c r="X108" s="15">
        <f t="shared" si="32"/>
        <v>1749769.5837300001</v>
      </c>
      <c r="Y108" s="15">
        <f t="shared" si="33"/>
        <v>730894.58373000007</v>
      </c>
      <c r="AA108" s="15" t="str">
        <f t="shared" si="21"/>
        <v>-</v>
      </c>
      <c r="AG108" s="16"/>
      <c r="AH108" s="15" t="str">
        <f t="shared" si="22"/>
        <v>-</v>
      </c>
      <c r="AO108" s="15">
        <f t="shared" si="23"/>
        <v>-7.5999999999999979</v>
      </c>
      <c r="AP108" s="15">
        <f t="shared" si="30"/>
        <v>14.2</v>
      </c>
      <c r="AQ108" s="3" t="e">
        <f t="shared" si="25"/>
        <v>#VALUE!</v>
      </c>
      <c r="AR108" s="15" t="e">
        <f t="shared" si="26"/>
        <v>#VALUE!</v>
      </c>
      <c r="AS108" s="3" t="e">
        <f t="shared" si="27"/>
        <v>#VALUE!</v>
      </c>
      <c r="AT108" s="3" t="e">
        <f t="shared" si="28"/>
        <v>#VALUE!</v>
      </c>
      <c r="AU108" s="16" t="e">
        <f t="shared" si="29"/>
        <v>#VALUE!</v>
      </c>
      <c r="AW108" s="3">
        <f t="shared" si="18"/>
        <v>5200000</v>
      </c>
      <c r="AX108" s="3" t="e">
        <f t="shared" si="19"/>
        <v>#VALUE!</v>
      </c>
    </row>
    <row r="109" spans="1:50" ht="17" thickBot="1" x14ac:dyDescent="0.25">
      <c r="A109" s="5" t="s">
        <v>25</v>
      </c>
      <c r="B109" s="12" t="s">
        <v>26</v>
      </c>
      <c r="C109" s="12" t="s">
        <v>137</v>
      </c>
      <c r="D109" s="13" t="s">
        <v>35</v>
      </c>
      <c r="E109" s="14" t="s">
        <v>35</v>
      </c>
      <c r="F109" s="14" t="s">
        <v>35</v>
      </c>
      <c r="G109" s="14" t="s">
        <v>35</v>
      </c>
      <c r="H109" s="13">
        <v>322</v>
      </c>
      <c r="I109" s="14">
        <v>1698753.05033</v>
      </c>
      <c r="J109" s="14">
        <v>4876.17029</v>
      </c>
      <c r="K109" s="14">
        <v>46.62</v>
      </c>
      <c r="L109" s="13" t="s">
        <v>35</v>
      </c>
      <c r="M109" s="14" t="s">
        <v>35</v>
      </c>
      <c r="N109" s="14" t="s">
        <v>35</v>
      </c>
      <c r="O109" s="14" t="s">
        <v>35</v>
      </c>
      <c r="P109" s="13">
        <v>18</v>
      </c>
      <c r="Q109" s="14">
        <v>94922.746280000007</v>
      </c>
      <c r="R109" s="14">
        <v>1477.80798</v>
      </c>
      <c r="S109" s="14">
        <v>0</v>
      </c>
      <c r="T109" s="15">
        <f t="shared" si="20"/>
        <v>-156.59999999999997</v>
      </c>
      <c r="U109" s="15">
        <v>195</v>
      </c>
      <c r="V109" s="15">
        <f t="shared" si="34"/>
        <v>5275</v>
      </c>
      <c r="W109" s="15">
        <f t="shared" si="31"/>
        <v>1028625</v>
      </c>
      <c r="X109" s="15">
        <f t="shared" si="32"/>
        <v>1698753.05033</v>
      </c>
      <c r="Y109" s="15">
        <f t="shared" si="33"/>
        <v>670128.05033</v>
      </c>
      <c r="AA109" s="15" t="str">
        <f t="shared" si="21"/>
        <v>-</v>
      </c>
      <c r="AG109" s="16"/>
      <c r="AH109" s="15" t="str">
        <f t="shared" si="22"/>
        <v>-</v>
      </c>
      <c r="AO109" s="15">
        <f t="shared" si="23"/>
        <v>-10.200000000000003</v>
      </c>
      <c r="AP109" s="15">
        <f t="shared" si="30"/>
        <v>14.2</v>
      </c>
      <c r="AQ109" s="3" t="e">
        <f t="shared" si="25"/>
        <v>#VALUE!</v>
      </c>
      <c r="AR109" s="15" t="e">
        <f t="shared" si="26"/>
        <v>#VALUE!</v>
      </c>
      <c r="AS109" s="3" t="e">
        <f t="shared" si="27"/>
        <v>#VALUE!</v>
      </c>
      <c r="AT109" s="3" t="e">
        <f t="shared" si="28"/>
        <v>#VALUE!</v>
      </c>
      <c r="AU109" s="16" t="e">
        <f t="shared" si="29"/>
        <v>#VALUE!</v>
      </c>
      <c r="AW109" s="3">
        <f t="shared" si="18"/>
        <v>5250000</v>
      </c>
      <c r="AX109" s="3" t="e">
        <f t="shared" si="19"/>
        <v>#VALUE!</v>
      </c>
    </row>
    <row r="110" spans="1:50" ht="17" thickBot="1" x14ac:dyDescent="0.25">
      <c r="A110" s="5" t="s">
        <v>25</v>
      </c>
      <c r="B110" s="12" t="s">
        <v>26</v>
      </c>
      <c r="C110" s="12" t="s">
        <v>138</v>
      </c>
      <c r="D110" s="13" t="s">
        <v>35</v>
      </c>
      <c r="E110" s="14" t="s">
        <v>35</v>
      </c>
      <c r="F110" s="14" t="s">
        <v>35</v>
      </c>
      <c r="G110" s="14" t="s">
        <v>35</v>
      </c>
      <c r="H110" s="13">
        <v>389</v>
      </c>
      <c r="I110" s="14">
        <v>2071386.9279700001</v>
      </c>
      <c r="J110" s="14">
        <v>5703.04205</v>
      </c>
      <c r="K110" s="14">
        <v>44.84</v>
      </c>
      <c r="L110" s="13" t="s">
        <v>35</v>
      </c>
      <c r="M110" s="14" t="s">
        <v>35</v>
      </c>
      <c r="N110" s="14" t="s">
        <v>35</v>
      </c>
      <c r="O110" s="14" t="s">
        <v>35</v>
      </c>
      <c r="P110" s="13">
        <v>26</v>
      </c>
      <c r="Q110" s="14">
        <v>138442.98071</v>
      </c>
      <c r="R110" s="14">
        <v>2642.4829100000002</v>
      </c>
      <c r="S110" s="14">
        <v>0</v>
      </c>
      <c r="T110" s="15">
        <f t="shared" si="20"/>
        <v>-177.40000000000003</v>
      </c>
      <c r="U110" s="15">
        <v>195</v>
      </c>
      <c r="V110" s="15">
        <f t="shared" si="34"/>
        <v>5325</v>
      </c>
      <c r="W110" s="15">
        <f t="shared" si="31"/>
        <v>1038375</v>
      </c>
      <c r="X110" s="15">
        <f t="shared" si="32"/>
        <v>2071386.9279700001</v>
      </c>
      <c r="Y110" s="15">
        <f t="shared" si="33"/>
        <v>1033011.9279700001</v>
      </c>
      <c r="AA110" s="15" t="str">
        <f t="shared" si="21"/>
        <v>-</v>
      </c>
      <c r="AG110" s="16"/>
      <c r="AH110" s="15" t="str">
        <f t="shared" si="22"/>
        <v>-</v>
      </c>
      <c r="AO110" s="15">
        <f t="shared" si="23"/>
        <v>-11.800000000000004</v>
      </c>
      <c r="AP110" s="15">
        <f t="shared" si="30"/>
        <v>14.2</v>
      </c>
      <c r="AQ110" s="3" t="e">
        <f t="shared" si="25"/>
        <v>#VALUE!</v>
      </c>
      <c r="AR110" s="15" t="e">
        <f t="shared" si="26"/>
        <v>#VALUE!</v>
      </c>
      <c r="AS110" s="3" t="e">
        <f t="shared" si="27"/>
        <v>#VALUE!</v>
      </c>
      <c r="AT110" s="3" t="e">
        <f t="shared" si="28"/>
        <v>#VALUE!</v>
      </c>
      <c r="AU110" s="16" t="e">
        <f t="shared" si="29"/>
        <v>#VALUE!</v>
      </c>
      <c r="AW110" s="3">
        <f t="shared" si="18"/>
        <v>5300000</v>
      </c>
      <c r="AX110" s="3" t="e">
        <f t="shared" si="19"/>
        <v>#VALUE!</v>
      </c>
    </row>
    <row r="111" spans="1:50" ht="17" thickBot="1" x14ac:dyDescent="0.25">
      <c r="A111" s="5" t="s">
        <v>25</v>
      </c>
      <c r="B111" s="12" t="s">
        <v>26</v>
      </c>
      <c r="C111" s="12" t="s">
        <v>139</v>
      </c>
      <c r="D111" s="13" t="s">
        <v>35</v>
      </c>
      <c r="E111" s="14" t="s">
        <v>35</v>
      </c>
      <c r="F111" s="14" t="s">
        <v>35</v>
      </c>
      <c r="G111" s="14" t="s">
        <v>35</v>
      </c>
      <c r="H111" s="13">
        <v>402</v>
      </c>
      <c r="I111" s="14">
        <v>2160788.4527799999</v>
      </c>
      <c r="J111" s="14">
        <v>5762.4817999999996</v>
      </c>
      <c r="K111" s="14">
        <v>55.67</v>
      </c>
      <c r="L111" s="13" t="s">
        <v>35</v>
      </c>
      <c r="M111" s="14" t="s">
        <v>35</v>
      </c>
      <c r="N111" s="14" t="s">
        <v>35</v>
      </c>
      <c r="O111" s="14" t="s">
        <v>35</v>
      </c>
      <c r="P111" s="13">
        <v>26</v>
      </c>
      <c r="Q111" s="14">
        <v>139630.26697999999</v>
      </c>
      <c r="R111" s="14">
        <v>2942.5065800000002</v>
      </c>
      <c r="S111" s="14">
        <v>0</v>
      </c>
      <c r="T111" s="15">
        <f t="shared" si="20"/>
        <v>-211.2</v>
      </c>
      <c r="U111" s="15">
        <v>195</v>
      </c>
      <c r="V111" s="15">
        <f t="shared" si="34"/>
        <v>5375</v>
      </c>
      <c r="W111" s="15">
        <f t="shared" si="31"/>
        <v>1048125</v>
      </c>
      <c r="X111" s="15">
        <f t="shared" si="32"/>
        <v>2160788.4527799999</v>
      </c>
      <c r="Y111" s="15">
        <f t="shared" si="33"/>
        <v>1112663.4527799999</v>
      </c>
      <c r="AA111" s="15" t="str">
        <f t="shared" si="21"/>
        <v>-</v>
      </c>
      <c r="AG111" s="16"/>
      <c r="AH111" s="15" t="str">
        <f t="shared" si="22"/>
        <v>-</v>
      </c>
      <c r="AO111" s="15">
        <f t="shared" si="23"/>
        <v>-12.200000000000003</v>
      </c>
      <c r="AP111" s="15">
        <f t="shared" si="30"/>
        <v>14.2</v>
      </c>
      <c r="AQ111" s="3" t="e">
        <f t="shared" si="25"/>
        <v>#VALUE!</v>
      </c>
      <c r="AR111" s="15" t="e">
        <f t="shared" si="26"/>
        <v>#VALUE!</v>
      </c>
      <c r="AS111" s="3" t="e">
        <f t="shared" si="27"/>
        <v>#VALUE!</v>
      </c>
      <c r="AT111" s="3" t="e">
        <f t="shared" si="28"/>
        <v>#VALUE!</v>
      </c>
      <c r="AU111" s="16" t="e">
        <f t="shared" si="29"/>
        <v>#VALUE!</v>
      </c>
      <c r="AW111" s="3">
        <f t="shared" si="18"/>
        <v>5350000</v>
      </c>
      <c r="AX111" s="3" t="e">
        <f t="shared" si="19"/>
        <v>#VALUE!</v>
      </c>
    </row>
    <row r="112" spans="1:50" ht="17" thickBot="1" x14ac:dyDescent="0.25">
      <c r="A112" s="5" t="s">
        <v>25</v>
      </c>
      <c r="B112" s="12" t="s">
        <v>26</v>
      </c>
      <c r="C112" s="12" t="s">
        <v>140</v>
      </c>
      <c r="D112" s="13" t="s">
        <v>35</v>
      </c>
      <c r="E112" s="14" t="s">
        <v>35</v>
      </c>
      <c r="F112" s="14" t="s">
        <v>35</v>
      </c>
      <c r="G112" s="14" t="s">
        <v>35</v>
      </c>
      <c r="H112" s="13">
        <v>464</v>
      </c>
      <c r="I112" s="14">
        <v>2517424.52036</v>
      </c>
      <c r="J112" s="14">
        <v>7259.5240899999999</v>
      </c>
      <c r="K112" s="14">
        <v>62.69</v>
      </c>
      <c r="L112" s="13" t="s">
        <v>35</v>
      </c>
      <c r="M112" s="14" t="s">
        <v>35</v>
      </c>
      <c r="N112" s="14" t="s">
        <v>35</v>
      </c>
      <c r="O112" s="14" t="s">
        <v>35</v>
      </c>
      <c r="P112" s="13">
        <v>34</v>
      </c>
      <c r="Q112" s="14">
        <v>184381.37147000001</v>
      </c>
      <c r="R112" s="14">
        <v>3564.4269899999999</v>
      </c>
      <c r="S112" s="14">
        <v>0.71</v>
      </c>
      <c r="T112" s="15">
        <f t="shared" si="20"/>
        <v>-237.20000000000005</v>
      </c>
      <c r="U112" s="15">
        <v>195</v>
      </c>
      <c r="V112" s="15">
        <f t="shared" si="34"/>
        <v>5425</v>
      </c>
      <c r="W112" s="15">
        <f t="shared" si="31"/>
        <v>1057875</v>
      </c>
      <c r="X112" s="15">
        <f t="shared" si="32"/>
        <v>2517424.52036</v>
      </c>
      <c r="Y112" s="15">
        <f t="shared" si="33"/>
        <v>1459549.52036</v>
      </c>
      <c r="AA112" s="15" t="str">
        <f t="shared" si="21"/>
        <v>-</v>
      </c>
      <c r="AG112" s="16"/>
      <c r="AH112" s="15" t="str">
        <f t="shared" si="22"/>
        <v>-</v>
      </c>
      <c r="AO112" s="15">
        <f t="shared" si="23"/>
        <v>-13.399999999999999</v>
      </c>
      <c r="AP112" s="15">
        <f t="shared" si="30"/>
        <v>14.2</v>
      </c>
      <c r="AQ112" s="3" t="e">
        <f t="shared" si="25"/>
        <v>#VALUE!</v>
      </c>
      <c r="AR112" s="15" t="e">
        <f t="shared" si="26"/>
        <v>#VALUE!</v>
      </c>
      <c r="AS112" s="3" t="e">
        <f t="shared" si="27"/>
        <v>#VALUE!</v>
      </c>
      <c r="AT112" s="3" t="e">
        <f t="shared" si="28"/>
        <v>#VALUE!</v>
      </c>
      <c r="AU112" s="16" t="e">
        <f t="shared" si="29"/>
        <v>#VALUE!</v>
      </c>
      <c r="AW112" s="3">
        <f t="shared" si="18"/>
        <v>5400000</v>
      </c>
      <c r="AX112" s="3" t="e">
        <f t="shared" si="19"/>
        <v>#VALUE!</v>
      </c>
    </row>
    <row r="113" spans="1:50" ht="17" thickBot="1" x14ac:dyDescent="0.25">
      <c r="A113" s="5" t="s">
        <v>25</v>
      </c>
      <c r="B113" s="12" t="s">
        <v>26</v>
      </c>
      <c r="C113" s="12" t="s">
        <v>141</v>
      </c>
      <c r="D113" s="13" t="s">
        <v>35</v>
      </c>
      <c r="E113" s="14" t="s">
        <v>35</v>
      </c>
      <c r="F113" s="14" t="s">
        <v>35</v>
      </c>
      <c r="G113" s="14" t="s">
        <v>35</v>
      </c>
      <c r="H113" s="13">
        <v>471</v>
      </c>
      <c r="I113" s="14">
        <v>2578826.5588699998</v>
      </c>
      <c r="J113" s="14">
        <v>7258.4772000000003</v>
      </c>
      <c r="K113" s="14">
        <v>46.36</v>
      </c>
      <c r="L113" s="13" t="s">
        <v>35</v>
      </c>
      <c r="M113" s="14" t="s">
        <v>35</v>
      </c>
      <c r="N113" s="14" t="s">
        <v>35</v>
      </c>
      <c r="O113" s="14" t="s">
        <v>35</v>
      </c>
      <c r="P113" s="13">
        <v>37</v>
      </c>
      <c r="Q113" s="14">
        <v>202576.33562999999</v>
      </c>
      <c r="R113" s="14">
        <v>3191.1927599999999</v>
      </c>
      <c r="S113" s="14">
        <v>0.71</v>
      </c>
      <c r="T113" s="15">
        <f t="shared" si="20"/>
        <v>-278.60000000000002</v>
      </c>
      <c r="U113" s="15">
        <v>195</v>
      </c>
      <c r="V113" s="15">
        <f t="shared" si="34"/>
        <v>5475</v>
      </c>
      <c r="W113" s="15">
        <f t="shared" si="31"/>
        <v>1067625</v>
      </c>
      <c r="X113" s="15">
        <f t="shared" si="32"/>
        <v>2578826.5588699998</v>
      </c>
      <c r="Y113" s="15">
        <f t="shared" si="33"/>
        <v>1511201.5588699998</v>
      </c>
      <c r="AA113" s="15" t="str">
        <f t="shared" si="21"/>
        <v>-</v>
      </c>
      <c r="AG113" s="16"/>
      <c r="AH113" s="15" t="str">
        <f t="shared" si="22"/>
        <v>-</v>
      </c>
      <c r="AO113" s="15">
        <f t="shared" si="23"/>
        <v>-12.2</v>
      </c>
      <c r="AP113" s="15">
        <f t="shared" si="30"/>
        <v>14.2</v>
      </c>
      <c r="AQ113" s="3" t="e">
        <f t="shared" si="25"/>
        <v>#VALUE!</v>
      </c>
      <c r="AR113" s="15" t="e">
        <f t="shared" si="26"/>
        <v>#VALUE!</v>
      </c>
      <c r="AS113" s="3" t="e">
        <f t="shared" si="27"/>
        <v>#VALUE!</v>
      </c>
      <c r="AT113" s="3" t="e">
        <f t="shared" si="28"/>
        <v>#VALUE!</v>
      </c>
      <c r="AU113" s="16" t="e">
        <f t="shared" si="29"/>
        <v>#VALUE!</v>
      </c>
      <c r="AW113" s="3">
        <f t="shared" si="18"/>
        <v>5450000</v>
      </c>
      <c r="AX113" s="3" t="e">
        <f t="shared" si="19"/>
        <v>#VALUE!</v>
      </c>
    </row>
    <row r="114" spans="1:50" ht="17" thickBot="1" x14ac:dyDescent="0.25">
      <c r="A114" s="5" t="s">
        <v>25</v>
      </c>
      <c r="B114" s="12" t="s">
        <v>26</v>
      </c>
      <c r="C114" s="12" t="s">
        <v>142</v>
      </c>
      <c r="D114" s="13" t="s">
        <v>35</v>
      </c>
      <c r="E114" s="14" t="s">
        <v>35</v>
      </c>
      <c r="F114" s="14" t="s">
        <v>35</v>
      </c>
      <c r="G114" s="14" t="s">
        <v>35</v>
      </c>
      <c r="H114" s="13">
        <v>536</v>
      </c>
      <c r="I114" s="14">
        <v>2961789.4194</v>
      </c>
      <c r="J114" s="14">
        <v>8088.3351199999997</v>
      </c>
      <c r="K114" s="14">
        <v>84.44</v>
      </c>
      <c r="L114" s="13" t="s">
        <v>35</v>
      </c>
      <c r="M114" s="14" t="s">
        <v>35</v>
      </c>
      <c r="N114" s="14" t="s">
        <v>35</v>
      </c>
      <c r="O114" s="14" t="s">
        <v>35</v>
      </c>
      <c r="P114" s="13">
        <v>35</v>
      </c>
      <c r="Q114" s="14">
        <v>193248.20488</v>
      </c>
      <c r="R114" s="14">
        <v>2210.7001599999999</v>
      </c>
      <c r="S114" s="14">
        <v>0</v>
      </c>
      <c r="T114" s="15">
        <f t="shared" si="20"/>
        <v>-322</v>
      </c>
      <c r="U114" s="15">
        <v>195</v>
      </c>
      <c r="V114" s="15">
        <f t="shared" si="34"/>
        <v>5525</v>
      </c>
      <c r="W114" s="15">
        <f t="shared" si="31"/>
        <v>1077375</v>
      </c>
      <c r="X114" s="15">
        <f t="shared" si="32"/>
        <v>2961789.4194</v>
      </c>
      <c r="Y114" s="15">
        <f t="shared" si="33"/>
        <v>1884414.4194</v>
      </c>
      <c r="AA114" s="15" t="str">
        <f t="shared" si="21"/>
        <v>-</v>
      </c>
      <c r="AG114" s="16"/>
      <c r="AH114" s="15" t="str">
        <f t="shared" si="22"/>
        <v>-</v>
      </c>
      <c r="AO114" s="15">
        <f t="shared" si="23"/>
        <v>-14.399999999999999</v>
      </c>
      <c r="AP114" s="15">
        <f t="shared" si="30"/>
        <v>14.2</v>
      </c>
      <c r="AQ114" s="3" t="e">
        <f t="shared" si="25"/>
        <v>#VALUE!</v>
      </c>
      <c r="AR114" s="15" t="e">
        <f t="shared" si="26"/>
        <v>#VALUE!</v>
      </c>
      <c r="AS114" s="3" t="e">
        <f t="shared" si="27"/>
        <v>#VALUE!</v>
      </c>
      <c r="AT114" s="3" t="e">
        <f t="shared" si="28"/>
        <v>#VALUE!</v>
      </c>
      <c r="AU114" s="16" t="e">
        <f t="shared" si="29"/>
        <v>#VALUE!</v>
      </c>
      <c r="AW114" s="3">
        <f t="shared" si="18"/>
        <v>5500000</v>
      </c>
      <c r="AX114" s="3" t="e">
        <f t="shared" si="19"/>
        <v>#VALUE!</v>
      </c>
    </row>
    <row r="115" spans="1:50" ht="17" thickBot="1" x14ac:dyDescent="0.25">
      <c r="A115" s="5" t="s">
        <v>25</v>
      </c>
      <c r="B115" s="12" t="s">
        <v>26</v>
      </c>
      <c r="C115" s="12" t="s">
        <v>143</v>
      </c>
      <c r="D115" s="13" t="s">
        <v>35</v>
      </c>
      <c r="E115" s="14" t="s">
        <v>35</v>
      </c>
      <c r="F115" s="14" t="s">
        <v>35</v>
      </c>
      <c r="G115" s="14" t="s">
        <v>35</v>
      </c>
      <c r="H115" s="13">
        <v>635</v>
      </c>
      <c r="I115" s="14">
        <v>3540253.82975</v>
      </c>
      <c r="J115" s="14">
        <v>9803.9221500000003</v>
      </c>
      <c r="K115" s="14">
        <v>86.49</v>
      </c>
      <c r="L115" s="13" t="s">
        <v>35</v>
      </c>
      <c r="M115" s="14" t="s">
        <v>35</v>
      </c>
      <c r="N115" s="14" t="s">
        <v>35</v>
      </c>
      <c r="O115" s="14" t="s">
        <v>35</v>
      </c>
      <c r="P115" s="13">
        <v>34</v>
      </c>
      <c r="Q115" s="14">
        <v>189449.13907</v>
      </c>
      <c r="R115" s="14">
        <v>1916.25359</v>
      </c>
      <c r="S115" s="14">
        <v>0</v>
      </c>
      <c r="T115" s="15">
        <f t="shared" si="20"/>
        <v>-364.79999999999995</v>
      </c>
      <c r="U115" s="15">
        <v>195</v>
      </c>
      <c r="V115" s="15">
        <f t="shared" si="34"/>
        <v>5575</v>
      </c>
      <c r="W115" s="15">
        <f t="shared" si="31"/>
        <v>1087125</v>
      </c>
      <c r="X115" s="15">
        <f t="shared" si="32"/>
        <v>3540253.82975</v>
      </c>
      <c r="Y115" s="15">
        <f t="shared" si="33"/>
        <v>2453128.82975</v>
      </c>
      <c r="AA115" s="15" t="str">
        <f t="shared" si="21"/>
        <v>-</v>
      </c>
      <c r="AG115" s="16"/>
      <c r="AH115" s="15" t="str">
        <f t="shared" si="22"/>
        <v>-</v>
      </c>
      <c r="AO115" s="15">
        <f t="shared" si="23"/>
        <v>-17</v>
      </c>
      <c r="AP115" s="15">
        <f t="shared" si="30"/>
        <v>14.2</v>
      </c>
      <c r="AQ115" s="3" t="e">
        <f t="shared" si="25"/>
        <v>#VALUE!</v>
      </c>
      <c r="AR115" s="15" t="e">
        <f t="shared" si="26"/>
        <v>#VALUE!</v>
      </c>
      <c r="AS115" s="3" t="e">
        <f t="shared" si="27"/>
        <v>#VALUE!</v>
      </c>
      <c r="AT115" s="3" t="e">
        <f t="shared" si="28"/>
        <v>#VALUE!</v>
      </c>
      <c r="AU115" s="16" t="e">
        <f t="shared" si="29"/>
        <v>#VALUE!</v>
      </c>
      <c r="AW115" s="3">
        <f t="shared" si="18"/>
        <v>5550000</v>
      </c>
      <c r="AX115" s="3" t="e">
        <f t="shared" si="19"/>
        <v>#VALUE!</v>
      </c>
    </row>
    <row r="116" spans="1:50" ht="17" thickBot="1" x14ac:dyDescent="0.25">
      <c r="A116" s="5" t="s">
        <v>25</v>
      </c>
      <c r="B116" s="12" t="s">
        <v>26</v>
      </c>
      <c r="C116" s="12" t="s">
        <v>144</v>
      </c>
      <c r="D116" s="13" t="s">
        <v>35</v>
      </c>
      <c r="E116" s="14" t="s">
        <v>35</v>
      </c>
      <c r="F116" s="14" t="s">
        <v>35</v>
      </c>
      <c r="G116" s="14" t="s">
        <v>35</v>
      </c>
      <c r="H116" s="13">
        <v>694</v>
      </c>
      <c r="I116" s="14">
        <v>3903596.6206899998</v>
      </c>
      <c r="J116" s="14">
        <v>10624.825849999999</v>
      </c>
      <c r="K116" s="14">
        <v>68.28</v>
      </c>
      <c r="L116" s="13" t="s">
        <v>35</v>
      </c>
      <c r="M116" s="14" t="s">
        <v>35</v>
      </c>
      <c r="N116" s="14" t="s">
        <v>35</v>
      </c>
      <c r="O116" s="14" t="s">
        <v>35</v>
      </c>
      <c r="P116" s="13">
        <v>33</v>
      </c>
      <c r="Q116" s="14">
        <v>185393.02625</v>
      </c>
      <c r="R116" s="14">
        <v>1701.1949500000001</v>
      </c>
      <c r="S116" s="14">
        <v>0</v>
      </c>
      <c r="T116" s="15">
        <f t="shared" si="20"/>
        <v>-445.20000000000005</v>
      </c>
      <c r="U116" s="15">
        <v>195</v>
      </c>
      <c r="V116" s="15">
        <f t="shared" si="34"/>
        <v>5625</v>
      </c>
      <c r="W116" s="15">
        <f t="shared" si="31"/>
        <v>1096875</v>
      </c>
      <c r="X116" s="15">
        <f t="shared" si="32"/>
        <v>3903596.6206899998</v>
      </c>
      <c r="Y116" s="15">
        <f t="shared" si="33"/>
        <v>2806721.6206899998</v>
      </c>
      <c r="AA116" s="15" t="str">
        <f t="shared" si="21"/>
        <v>-</v>
      </c>
      <c r="AG116" s="16"/>
      <c r="AH116" s="15" t="str">
        <f t="shared" si="22"/>
        <v>-</v>
      </c>
      <c r="AO116" s="15">
        <f t="shared" si="23"/>
        <v>-21.4</v>
      </c>
      <c r="AP116" s="15">
        <f t="shared" si="30"/>
        <v>14.2</v>
      </c>
      <c r="AQ116" s="3" t="e">
        <f t="shared" si="25"/>
        <v>#VALUE!</v>
      </c>
      <c r="AR116" s="15" t="e">
        <f t="shared" si="26"/>
        <v>#VALUE!</v>
      </c>
      <c r="AS116" s="3" t="e">
        <f t="shared" si="27"/>
        <v>#VALUE!</v>
      </c>
      <c r="AT116" s="3" t="e">
        <f t="shared" si="28"/>
        <v>#VALUE!</v>
      </c>
      <c r="AU116" s="16" t="e">
        <f t="shared" si="29"/>
        <v>#VALUE!</v>
      </c>
      <c r="AW116" s="3">
        <f t="shared" si="18"/>
        <v>5600000</v>
      </c>
      <c r="AX116" s="3" t="e">
        <f t="shared" si="19"/>
        <v>#VALUE!</v>
      </c>
    </row>
    <row r="117" spans="1:50" ht="17" thickBot="1" x14ac:dyDescent="0.25">
      <c r="A117" s="5" t="s">
        <v>25</v>
      </c>
      <c r="B117" s="12" t="s">
        <v>26</v>
      </c>
      <c r="C117" s="12" t="s">
        <v>145</v>
      </c>
      <c r="D117" s="13" t="s">
        <v>35</v>
      </c>
      <c r="E117" s="14" t="s">
        <v>35</v>
      </c>
      <c r="F117" s="14" t="s">
        <v>35</v>
      </c>
      <c r="G117" s="14" t="s">
        <v>35</v>
      </c>
      <c r="H117" s="13">
        <v>762</v>
      </c>
      <c r="I117" s="14">
        <v>4324334.0506300004</v>
      </c>
      <c r="J117" s="14">
        <v>11324.210010000001</v>
      </c>
      <c r="K117" s="14">
        <v>106.36</v>
      </c>
      <c r="L117" s="13" t="s">
        <v>35</v>
      </c>
      <c r="M117" s="14" t="s">
        <v>35</v>
      </c>
      <c r="N117" s="14" t="s">
        <v>35</v>
      </c>
      <c r="O117" s="14" t="s">
        <v>35</v>
      </c>
      <c r="P117" s="13">
        <v>51</v>
      </c>
      <c r="Q117" s="14">
        <v>289352.05963999999</v>
      </c>
      <c r="R117" s="14">
        <v>4941.7379899999996</v>
      </c>
      <c r="S117" s="14">
        <v>2.13</v>
      </c>
      <c r="T117" s="15">
        <f>AVERAGE(H113:H117)-AVERAGE(H118:H122)</f>
        <v>-455.6</v>
      </c>
      <c r="U117" s="15">
        <v>195</v>
      </c>
      <c r="V117" s="15">
        <f t="shared" si="34"/>
        <v>5675</v>
      </c>
      <c r="W117" s="15">
        <f t="shared" si="31"/>
        <v>1106625</v>
      </c>
      <c r="X117" s="15">
        <f t="shared" si="32"/>
        <v>4324334.0506300004</v>
      </c>
      <c r="Y117" s="15">
        <f t="shared" si="33"/>
        <v>3217709.0506300004</v>
      </c>
      <c r="AA117" s="15" t="str">
        <f t="shared" si="21"/>
        <v>-</v>
      </c>
      <c r="AG117" s="16"/>
      <c r="AH117" s="15" t="str">
        <f t="shared" si="22"/>
        <v>-</v>
      </c>
      <c r="AO117" s="15">
        <f t="shared" si="23"/>
        <v>-20.399999999999999</v>
      </c>
      <c r="AP117" s="15">
        <f t="shared" si="30"/>
        <v>14.2</v>
      </c>
      <c r="AQ117" s="3" t="e">
        <f t="shared" si="25"/>
        <v>#VALUE!</v>
      </c>
      <c r="AR117" s="15" t="e">
        <f t="shared" si="26"/>
        <v>#VALUE!</v>
      </c>
      <c r="AS117" s="3" t="e">
        <f t="shared" si="27"/>
        <v>#VALUE!</v>
      </c>
      <c r="AT117" s="3" t="e">
        <f t="shared" si="28"/>
        <v>#VALUE!</v>
      </c>
      <c r="AU117" s="16" t="e">
        <f t="shared" si="29"/>
        <v>#VALUE!</v>
      </c>
      <c r="AW117" s="3">
        <f t="shared" si="18"/>
        <v>5650000</v>
      </c>
      <c r="AX117" s="3" t="e">
        <f t="shared" si="19"/>
        <v>#VALUE!</v>
      </c>
    </row>
    <row r="118" spans="1:50" ht="17" thickBot="1" x14ac:dyDescent="0.25">
      <c r="A118" s="5" t="s">
        <v>25</v>
      </c>
      <c r="B118" s="12" t="s">
        <v>26</v>
      </c>
      <c r="C118" s="12" t="s">
        <v>146</v>
      </c>
      <c r="D118" s="13" t="s">
        <v>35</v>
      </c>
      <c r="E118" s="14" t="s">
        <v>35</v>
      </c>
      <c r="F118" s="14" t="s">
        <v>35</v>
      </c>
      <c r="G118" s="14" t="s">
        <v>35</v>
      </c>
      <c r="H118" s="13">
        <v>814</v>
      </c>
      <c r="I118" s="14">
        <v>4660348.5150100002</v>
      </c>
      <c r="J118" s="14">
        <v>12526.54931</v>
      </c>
      <c r="K118" s="14">
        <v>109.68</v>
      </c>
      <c r="L118" s="13">
        <v>1</v>
      </c>
      <c r="M118" s="14">
        <v>5703.6961499999998</v>
      </c>
      <c r="N118" s="14">
        <v>113.1996</v>
      </c>
      <c r="O118" s="14">
        <v>0</v>
      </c>
      <c r="P118" s="13">
        <v>49</v>
      </c>
      <c r="Q118" s="14">
        <v>280535.28424000001</v>
      </c>
      <c r="R118" s="14">
        <v>3334.8161599999999</v>
      </c>
      <c r="S118" s="14">
        <v>0</v>
      </c>
      <c r="U118" s="15">
        <v>195</v>
      </c>
      <c r="V118" s="15">
        <f t="shared" si="34"/>
        <v>5725</v>
      </c>
      <c r="W118" s="15">
        <f t="shared" si="31"/>
        <v>1116375</v>
      </c>
      <c r="X118" s="15">
        <f t="shared" si="32"/>
        <v>4660348.5150100002</v>
      </c>
      <c r="Y118" s="15">
        <f t="shared" si="33"/>
        <v>3543973.5150100002</v>
      </c>
      <c r="AA118" s="15" t="str">
        <f t="shared" si="21"/>
        <v>-</v>
      </c>
      <c r="AG118" s="16"/>
      <c r="AH118" s="15">
        <f t="shared" si="22"/>
        <v>0</v>
      </c>
      <c r="AO118" s="15">
        <f t="shared" si="23"/>
        <v>-16.600000000000001</v>
      </c>
      <c r="AP118" s="15">
        <f t="shared" si="30"/>
        <v>14.2</v>
      </c>
      <c r="AQ118" s="3" t="e">
        <f t="shared" si="25"/>
        <v>#VALUE!</v>
      </c>
      <c r="AR118" s="15" t="e">
        <f t="shared" si="26"/>
        <v>#VALUE!</v>
      </c>
      <c r="AS118" s="3" t="e">
        <f t="shared" si="27"/>
        <v>#VALUE!</v>
      </c>
      <c r="AT118" s="3" t="e">
        <f t="shared" si="28"/>
        <v>#VALUE!</v>
      </c>
      <c r="AU118" s="16" t="e">
        <f t="shared" si="29"/>
        <v>#VALUE!</v>
      </c>
      <c r="AW118" s="3">
        <f t="shared" si="18"/>
        <v>5700000</v>
      </c>
      <c r="AX118" s="3" t="e">
        <f t="shared" si="19"/>
        <v>#VALUE!</v>
      </c>
    </row>
    <row r="119" spans="1:50" ht="17" thickBot="1" x14ac:dyDescent="0.25">
      <c r="A119" s="5" t="s">
        <v>25</v>
      </c>
      <c r="B119" s="12" t="s">
        <v>26</v>
      </c>
      <c r="C119" s="12" t="s">
        <v>147</v>
      </c>
      <c r="D119" s="13" t="s">
        <v>35</v>
      </c>
      <c r="E119" s="14" t="s">
        <v>35</v>
      </c>
      <c r="F119" s="14" t="s">
        <v>35</v>
      </c>
      <c r="G119" s="14" t="s">
        <v>35</v>
      </c>
      <c r="H119" s="13">
        <v>967</v>
      </c>
      <c r="I119" s="14">
        <v>5583978.8714100001</v>
      </c>
      <c r="J119" s="14">
        <v>14723.58778</v>
      </c>
      <c r="K119" s="14">
        <v>109.16</v>
      </c>
      <c r="L119" s="13" t="s">
        <v>35</v>
      </c>
      <c r="M119" s="14" t="s">
        <v>35</v>
      </c>
      <c r="N119" s="14" t="s">
        <v>35</v>
      </c>
      <c r="O119" s="14" t="s">
        <v>35</v>
      </c>
      <c r="P119" s="13">
        <v>63</v>
      </c>
      <c r="Q119" s="14">
        <v>363876.77133999998</v>
      </c>
      <c r="R119" s="14">
        <v>3132.6350499999999</v>
      </c>
      <c r="S119" s="14">
        <v>0</v>
      </c>
      <c r="U119" s="15">
        <v>195</v>
      </c>
      <c r="V119" s="15">
        <f t="shared" si="34"/>
        <v>5775</v>
      </c>
      <c r="W119" s="15">
        <f t="shared" si="31"/>
        <v>1126125</v>
      </c>
      <c r="X119" s="15">
        <f t="shared" si="32"/>
        <v>5583978.8714100001</v>
      </c>
      <c r="Y119" s="15">
        <f t="shared" si="33"/>
        <v>4457853.8714100001</v>
      </c>
      <c r="AA119" s="15" t="str">
        <f t="shared" si="21"/>
        <v>-</v>
      </c>
      <c r="AG119" s="16"/>
      <c r="AH119" s="15">
        <f t="shared" si="22"/>
        <v>0</v>
      </c>
      <c r="AO119" s="15">
        <f t="shared" si="23"/>
        <v>-3</v>
      </c>
      <c r="AP119" s="15">
        <f t="shared" si="30"/>
        <v>14.2</v>
      </c>
      <c r="AQ119" s="3" t="e">
        <f t="shared" si="25"/>
        <v>#VALUE!</v>
      </c>
      <c r="AR119" s="15" t="e">
        <f t="shared" si="26"/>
        <v>#VALUE!</v>
      </c>
      <c r="AS119" s="3" t="e">
        <f t="shared" si="27"/>
        <v>#VALUE!</v>
      </c>
      <c r="AT119" s="3" t="e">
        <f t="shared" si="28"/>
        <v>#VALUE!</v>
      </c>
      <c r="AU119" s="16" t="e">
        <f t="shared" si="29"/>
        <v>#VALUE!</v>
      </c>
      <c r="AW119" s="3">
        <f t="shared" si="18"/>
        <v>5750000</v>
      </c>
      <c r="AX119" s="3" t="e">
        <f t="shared" si="19"/>
        <v>#VALUE!</v>
      </c>
    </row>
    <row r="120" spans="1:50" ht="17" thickBot="1" x14ac:dyDescent="0.25">
      <c r="A120" s="5" t="s">
        <v>25</v>
      </c>
      <c r="B120" s="12" t="s">
        <v>26</v>
      </c>
      <c r="C120" s="12" t="s">
        <v>148</v>
      </c>
      <c r="D120" s="13" t="s">
        <v>35</v>
      </c>
      <c r="E120" s="14" t="s">
        <v>35</v>
      </c>
      <c r="F120" s="14" t="s">
        <v>35</v>
      </c>
      <c r="G120" s="14" t="s">
        <v>35</v>
      </c>
      <c r="H120" s="13">
        <v>1095</v>
      </c>
      <c r="I120" s="14">
        <v>6378805.0417799996</v>
      </c>
      <c r="J120" s="14">
        <v>16919.571690000001</v>
      </c>
      <c r="K120" s="14">
        <v>81.260000000000005</v>
      </c>
      <c r="L120" s="13" t="s">
        <v>35</v>
      </c>
      <c r="M120" s="14" t="s">
        <v>35</v>
      </c>
      <c r="N120" s="14" t="s">
        <v>35</v>
      </c>
      <c r="O120" s="14" t="s">
        <v>35</v>
      </c>
      <c r="P120" s="13">
        <v>55</v>
      </c>
      <c r="Q120" s="14">
        <v>320545.14347000001</v>
      </c>
      <c r="R120" s="14">
        <v>3950.6786099999999</v>
      </c>
      <c r="S120" s="14">
        <v>0</v>
      </c>
      <c r="U120" s="15">
        <v>195</v>
      </c>
      <c r="V120" s="15">
        <f t="shared" si="34"/>
        <v>5825</v>
      </c>
      <c r="W120" s="15">
        <f t="shared" si="31"/>
        <v>1135875</v>
      </c>
      <c r="X120" s="15">
        <f t="shared" si="32"/>
        <v>6378805.0417799996</v>
      </c>
      <c r="Y120" s="15">
        <f t="shared" si="33"/>
        <v>5242930.0417799996</v>
      </c>
      <c r="AA120" s="15" t="str">
        <f t="shared" si="21"/>
        <v>-</v>
      </c>
      <c r="AG120" s="16"/>
      <c r="AH120" s="15">
        <f t="shared" si="22"/>
        <v>0</v>
      </c>
      <c r="AO120" s="15">
        <f t="shared" si="23"/>
        <v>4.8000000000000043</v>
      </c>
      <c r="AP120" s="15">
        <f t="shared" si="30"/>
        <v>14.2</v>
      </c>
      <c r="AQ120" s="3" t="e">
        <f t="shared" si="25"/>
        <v>#VALUE!</v>
      </c>
      <c r="AR120" s="15">
        <f t="shared" si="26"/>
        <v>0</v>
      </c>
      <c r="AS120" s="3">
        <f t="shared" si="27"/>
        <v>0</v>
      </c>
      <c r="AT120" s="3">
        <f t="shared" si="28"/>
        <v>0</v>
      </c>
      <c r="AU120" s="16" t="e">
        <f t="shared" si="29"/>
        <v>#VALUE!</v>
      </c>
      <c r="AW120" s="3">
        <f t="shared" si="18"/>
        <v>5800000</v>
      </c>
      <c r="AX120" s="3" t="e">
        <f t="shared" si="19"/>
        <v>#VALUE!</v>
      </c>
    </row>
    <row r="121" spans="1:50" ht="17" thickBot="1" x14ac:dyDescent="0.25">
      <c r="A121" s="5" t="s">
        <v>25</v>
      </c>
      <c r="B121" s="12" t="s">
        <v>26</v>
      </c>
      <c r="C121" s="12" t="s">
        <v>149</v>
      </c>
      <c r="D121" s="13" t="s">
        <v>35</v>
      </c>
      <c r="E121" s="14" t="s">
        <v>35</v>
      </c>
      <c r="F121" s="14" t="s">
        <v>35</v>
      </c>
      <c r="G121" s="14" t="s">
        <v>35</v>
      </c>
      <c r="H121" s="13">
        <v>1388</v>
      </c>
      <c r="I121" s="14">
        <v>8157077.3391399998</v>
      </c>
      <c r="J121" s="14">
        <v>21611.289639999999</v>
      </c>
      <c r="K121" s="14">
        <v>134.44999999999999</v>
      </c>
      <c r="L121" s="13">
        <v>1</v>
      </c>
      <c r="M121" s="14">
        <v>5860.3249999999998</v>
      </c>
      <c r="N121" s="14">
        <v>171.19225</v>
      </c>
      <c r="O121" s="14">
        <v>0</v>
      </c>
      <c r="P121" s="13">
        <v>62</v>
      </c>
      <c r="Q121" s="14">
        <v>364205.69692000002</v>
      </c>
      <c r="R121" s="14">
        <v>3004.67641</v>
      </c>
      <c r="S121" s="14">
        <v>0</v>
      </c>
      <c r="U121" s="15">
        <v>195</v>
      </c>
      <c r="V121" s="15">
        <f>V120+50</f>
        <v>5875</v>
      </c>
      <c r="W121" s="15">
        <f t="shared" si="31"/>
        <v>1145625</v>
      </c>
      <c r="X121" s="15">
        <f t="shared" si="32"/>
        <v>8157077.3391399998</v>
      </c>
      <c r="Y121" s="15">
        <f t="shared" si="33"/>
        <v>7011452.3391399998</v>
      </c>
      <c r="AA121" s="15" t="str">
        <f t="shared" si="21"/>
        <v>-</v>
      </c>
      <c r="AG121" s="16"/>
      <c r="AH121" s="15" t="str">
        <f t="shared" si="22"/>
        <v>-</v>
      </c>
      <c r="AO121" s="15">
        <f t="shared" si="23"/>
        <v>18.600000000000001</v>
      </c>
      <c r="AP121" s="15">
        <f t="shared" si="30"/>
        <v>14.2</v>
      </c>
      <c r="AQ121" s="3" t="e">
        <f t="shared" si="25"/>
        <v>#VALUE!</v>
      </c>
      <c r="AR121" s="15">
        <f t="shared" si="26"/>
        <v>0</v>
      </c>
      <c r="AS121" s="3">
        <f t="shared" si="27"/>
        <v>0</v>
      </c>
      <c r="AT121" s="3">
        <f t="shared" si="28"/>
        <v>0</v>
      </c>
      <c r="AU121" s="16" t="e">
        <f t="shared" si="29"/>
        <v>#VALUE!</v>
      </c>
      <c r="AW121" s="3">
        <f t="shared" si="18"/>
        <v>5850000</v>
      </c>
      <c r="AX121" s="3" t="e">
        <f t="shared" si="19"/>
        <v>#VALUE!</v>
      </c>
    </row>
    <row r="122" spans="1:50" s="21" customFormat="1" ht="17" thickBot="1" x14ac:dyDescent="0.25">
      <c r="A122" s="17" t="s">
        <v>25</v>
      </c>
      <c r="B122" s="18" t="s">
        <v>26</v>
      </c>
      <c r="C122" s="18" t="s">
        <v>150</v>
      </c>
      <c r="D122" s="19" t="s">
        <v>35</v>
      </c>
      <c r="E122" s="20" t="s">
        <v>35</v>
      </c>
      <c r="F122" s="20" t="s">
        <v>35</v>
      </c>
      <c r="G122" s="20" t="s">
        <v>35</v>
      </c>
      <c r="H122" s="19">
        <v>1112</v>
      </c>
      <c r="I122" s="20">
        <v>6576030.97071</v>
      </c>
      <c r="J122" s="20">
        <v>16620.684430000001</v>
      </c>
      <c r="K122" s="20">
        <v>88.92</v>
      </c>
      <c r="L122" s="19" t="s">
        <v>35</v>
      </c>
      <c r="M122" s="20" t="s">
        <v>35</v>
      </c>
      <c r="N122" s="20" t="s">
        <v>35</v>
      </c>
      <c r="O122" s="20" t="s">
        <v>35</v>
      </c>
      <c r="P122" s="19">
        <v>63</v>
      </c>
      <c r="Q122" s="20">
        <v>372819.58273000002</v>
      </c>
      <c r="R122" s="20">
        <v>2798.28006</v>
      </c>
      <c r="S122" s="20">
        <v>0</v>
      </c>
      <c r="U122" s="28">
        <v>195</v>
      </c>
      <c r="V122" s="28">
        <f>V121+50</f>
        <v>5925</v>
      </c>
      <c r="W122" s="28">
        <f>U122*V122</f>
        <v>1155375</v>
      </c>
      <c r="X122" s="28">
        <f>I122</f>
        <v>6576030.97071</v>
      </c>
      <c r="Y122" s="28">
        <f>X122-W122</f>
        <v>5420655.97071</v>
      </c>
      <c r="AA122" s="15" t="str">
        <f t="shared" si="21"/>
        <v>-</v>
      </c>
      <c r="AB122" s="2"/>
      <c r="AC122" s="2"/>
      <c r="AD122" s="2"/>
      <c r="AE122" s="2"/>
      <c r="AF122" s="2"/>
      <c r="AG122" s="16"/>
      <c r="AH122" s="15" t="str">
        <f t="shared" si="22"/>
        <v>-</v>
      </c>
      <c r="AI122" s="2"/>
      <c r="AJ122" s="2"/>
      <c r="AK122" s="2"/>
      <c r="AL122" s="2"/>
      <c r="AM122" s="2"/>
      <c r="AN122" s="2"/>
      <c r="AO122" s="15">
        <f t="shared" si="23"/>
        <v>31.2</v>
      </c>
      <c r="AP122" s="15">
        <f t="shared" si="30"/>
        <v>14.2</v>
      </c>
      <c r="AQ122" s="3" t="e">
        <f t="shared" si="25"/>
        <v>#VALUE!</v>
      </c>
      <c r="AR122" s="15">
        <f t="shared" si="26"/>
        <v>0</v>
      </c>
      <c r="AS122" s="3">
        <f t="shared" si="27"/>
        <v>0</v>
      </c>
      <c r="AT122" s="3">
        <f t="shared" si="28"/>
        <v>0</v>
      </c>
      <c r="AU122" s="16" t="e">
        <f t="shared" si="29"/>
        <v>#VALUE!</v>
      </c>
      <c r="AV122" s="2"/>
      <c r="AW122" s="3">
        <f t="shared" si="18"/>
        <v>5900000</v>
      </c>
      <c r="AX122" s="3" t="e">
        <f t="shared" si="19"/>
        <v>#VALUE!</v>
      </c>
    </row>
    <row r="123" spans="1:50" ht="17" thickBot="1" x14ac:dyDescent="0.25">
      <c r="A123" s="5" t="s">
        <v>25</v>
      </c>
      <c r="B123" s="12" t="s">
        <v>26</v>
      </c>
      <c r="C123" s="12" t="s">
        <v>151</v>
      </c>
      <c r="D123" s="13" t="s">
        <v>35</v>
      </c>
      <c r="E123" s="14" t="s">
        <v>35</v>
      </c>
      <c r="F123" s="14" t="s">
        <v>35</v>
      </c>
      <c r="G123" s="14" t="s">
        <v>35</v>
      </c>
      <c r="H123" s="13">
        <v>54</v>
      </c>
      <c r="I123" s="14">
        <v>322496.43488000002</v>
      </c>
      <c r="J123" s="14">
        <v>738.35567000000003</v>
      </c>
      <c r="K123" s="14">
        <v>6.39</v>
      </c>
      <c r="L123" s="13" t="s">
        <v>35</v>
      </c>
      <c r="M123" s="14" t="s">
        <v>35</v>
      </c>
      <c r="N123" s="14" t="s">
        <v>35</v>
      </c>
      <c r="O123" s="14" t="s">
        <v>35</v>
      </c>
      <c r="P123" s="13">
        <v>42</v>
      </c>
      <c r="Q123" s="14">
        <v>250843.58856</v>
      </c>
      <c r="R123" s="14">
        <v>4038.2643200000002</v>
      </c>
      <c r="S123" s="14">
        <v>0</v>
      </c>
      <c r="Y123" s="15">
        <f>SUM(Y96:Y97,Y100:Y122)</f>
        <v>45226772.608839996</v>
      </c>
      <c r="Z123" s="24" t="s">
        <v>28</v>
      </c>
      <c r="AA123" s="15" t="str">
        <f t="shared" si="21"/>
        <v>-</v>
      </c>
      <c r="AG123" s="16"/>
      <c r="AH123" s="15" t="str">
        <f t="shared" si="22"/>
        <v>-</v>
      </c>
      <c r="AO123" s="15">
        <f t="shared" si="23"/>
        <v>34.799999999999997</v>
      </c>
      <c r="AP123" s="15">
        <f t="shared" si="30"/>
        <v>14.2</v>
      </c>
      <c r="AQ123" s="3" t="e">
        <f t="shared" si="25"/>
        <v>#VALUE!</v>
      </c>
      <c r="AR123" s="15">
        <f t="shared" si="26"/>
        <v>0</v>
      </c>
      <c r="AS123" s="3">
        <f t="shared" si="27"/>
        <v>0</v>
      </c>
      <c r="AT123" s="3">
        <f t="shared" si="28"/>
        <v>0</v>
      </c>
      <c r="AU123" s="16" t="e">
        <f t="shared" si="29"/>
        <v>#VALUE!</v>
      </c>
      <c r="AW123" s="3">
        <f t="shared" si="18"/>
        <v>5950000</v>
      </c>
      <c r="AX123" s="3" t="e">
        <f t="shared" si="19"/>
        <v>#VALUE!</v>
      </c>
    </row>
    <row r="124" spans="1:50" ht="17" thickBot="1" x14ac:dyDescent="0.25">
      <c r="A124" s="5" t="s">
        <v>25</v>
      </c>
      <c r="B124" s="12" t="s">
        <v>26</v>
      </c>
      <c r="C124" s="12" t="s">
        <v>152</v>
      </c>
      <c r="D124" s="13" t="s">
        <v>35</v>
      </c>
      <c r="E124" s="14" t="s">
        <v>35</v>
      </c>
      <c r="F124" s="14" t="s">
        <v>35</v>
      </c>
      <c r="G124" s="14" t="s">
        <v>35</v>
      </c>
      <c r="H124" s="13">
        <v>54</v>
      </c>
      <c r="I124" s="14">
        <v>325229.15081000002</v>
      </c>
      <c r="J124" s="14">
        <v>886.51130000000001</v>
      </c>
      <c r="K124" s="14">
        <v>1.42</v>
      </c>
      <c r="L124" s="13" t="s">
        <v>35</v>
      </c>
      <c r="M124" s="14" t="s">
        <v>35</v>
      </c>
      <c r="N124" s="14" t="s">
        <v>35</v>
      </c>
      <c r="O124" s="14" t="s">
        <v>35</v>
      </c>
      <c r="P124" s="13">
        <v>23</v>
      </c>
      <c r="Q124" s="14">
        <v>138618.69587</v>
      </c>
      <c r="R124" s="14">
        <v>3006.7777599999999</v>
      </c>
      <c r="S124" s="14">
        <v>0</v>
      </c>
      <c r="AA124" s="15" t="str">
        <f t="shared" si="21"/>
        <v>-</v>
      </c>
      <c r="AG124" s="16"/>
      <c r="AH124" s="15" t="str">
        <f t="shared" si="22"/>
        <v>-</v>
      </c>
      <c r="AO124" s="15">
        <f t="shared" si="23"/>
        <v>28.2</v>
      </c>
      <c r="AP124" s="15">
        <f t="shared" si="30"/>
        <v>14.2</v>
      </c>
      <c r="AQ124" s="3" t="e">
        <f t="shared" si="25"/>
        <v>#VALUE!</v>
      </c>
      <c r="AR124" s="15">
        <f t="shared" si="26"/>
        <v>0</v>
      </c>
      <c r="AS124" s="3">
        <f t="shared" si="27"/>
        <v>0</v>
      </c>
      <c r="AT124" s="3">
        <f t="shared" si="28"/>
        <v>0</v>
      </c>
      <c r="AU124" s="16" t="e">
        <f t="shared" si="29"/>
        <v>#VALUE!</v>
      </c>
      <c r="AW124" s="3">
        <f t="shared" si="18"/>
        <v>6000000</v>
      </c>
      <c r="AX124" s="3" t="e">
        <f t="shared" si="19"/>
        <v>#VALUE!</v>
      </c>
    </row>
    <row r="125" spans="1:50" ht="17" thickBot="1" x14ac:dyDescent="0.25">
      <c r="A125" s="5" t="s">
        <v>25</v>
      </c>
      <c r="B125" s="12" t="s">
        <v>26</v>
      </c>
      <c r="C125" s="12" t="s">
        <v>153</v>
      </c>
      <c r="D125" s="13" t="s">
        <v>35</v>
      </c>
      <c r="E125" s="14" t="s">
        <v>35</v>
      </c>
      <c r="F125" s="14" t="s">
        <v>35</v>
      </c>
      <c r="G125" s="14" t="s">
        <v>35</v>
      </c>
      <c r="H125" s="13">
        <v>24</v>
      </c>
      <c r="I125" s="14">
        <v>145726.46775000001</v>
      </c>
      <c r="J125" s="14">
        <v>435.26143000000002</v>
      </c>
      <c r="K125" s="14">
        <v>0.71</v>
      </c>
      <c r="L125" s="13" t="s">
        <v>35</v>
      </c>
      <c r="M125" s="14" t="s">
        <v>35</v>
      </c>
      <c r="N125" s="14" t="s">
        <v>35</v>
      </c>
      <c r="O125" s="14" t="s">
        <v>35</v>
      </c>
      <c r="P125" s="13">
        <v>37</v>
      </c>
      <c r="Q125" s="14">
        <v>224804.89478999999</v>
      </c>
      <c r="R125" s="14">
        <v>3892.9720499999999</v>
      </c>
      <c r="S125" s="14">
        <v>0.71</v>
      </c>
      <c r="AA125" s="15" t="str">
        <f t="shared" si="21"/>
        <v>-</v>
      </c>
      <c r="AG125" s="16"/>
      <c r="AH125" s="15" t="str">
        <f t="shared" si="22"/>
        <v>-</v>
      </c>
      <c r="AO125" s="15">
        <f t="shared" si="23"/>
        <v>29.2</v>
      </c>
      <c r="AP125" s="15">
        <f t="shared" si="30"/>
        <v>14.2</v>
      </c>
      <c r="AQ125" s="3" t="e">
        <f t="shared" si="25"/>
        <v>#VALUE!</v>
      </c>
      <c r="AR125" s="15">
        <f t="shared" si="26"/>
        <v>0</v>
      </c>
      <c r="AS125" s="3">
        <f t="shared" si="27"/>
        <v>0</v>
      </c>
      <c r="AT125" s="3">
        <f t="shared" si="28"/>
        <v>0</v>
      </c>
      <c r="AU125" s="16" t="e">
        <f t="shared" si="29"/>
        <v>#VALUE!</v>
      </c>
      <c r="AW125" s="3">
        <f t="shared" si="18"/>
        <v>6050000</v>
      </c>
      <c r="AX125" s="3" t="e">
        <f t="shared" si="19"/>
        <v>#VALUE!</v>
      </c>
    </row>
    <row r="126" spans="1:50" ht="17" thickBot="1" x14ac:dyDescent="0.25">
      <c r="A126" s="5" t="s">
        <v>25</v>
      </c>
      <c r="B126" s="12" t="s">
        <v>26</v>
      </c>
      <c r="C126" s="12" t="s">
        <v>154</v>
      </c>
      <c r="D126" s="13" t="s">
        <v>35</v>
      </c>
      <c r="E126" s="14" t="s">
        <v>35</v>
      </c>
      <c r="F126" s="14" t="s">
        <v>35</v>
      </c>
      <c r="G126" s="14" t="s">
        <v>35</v>
      </c>
      <c r="H126" s="13">
        <v>18</v>
      </c>
      <c r="I126" s="14">
        <v>110274.83803</v>
      </c>
      <c r="J126" s="14">
        <v>247.02099999999999</v>
      </c>
      <c r="K126" s="14">
        <v>2.13</v>
      </c>
      <c r="L126" s="13" t="s">
        <v>35</v>
      </c>
      <c r="M126" s="14" t="s">
        <v>35</v>
      </c>
      <c r="N126" s="14" t="s">
        <v>35</v>
      </c>
      <c r="O126" s="14" t="s">
        <v>35</v>
      </c>
      <c r="P126" s="13">
        <v>22</v>
      </c>
      <c r="Q126" s="14">
        <v>134735.32329999999</v>
      </c>
      <c r="R126" s="14">
        <v>2612.8881299999998</v>
      </c>
      <c r="S126" s="14">
        <v>0</v>
      </c>
      <c r="W126" s="24" t="s">
        <v>155</v>
      </c>
      <c r="X126" s="15">
        <f>SUM(I4:I122)</f>
        <v>117891939.43808</v>
      </c>
      <c r="AA126" s="15" t="str">
        <f t="shared" si="21"/>
        <v>-</v>
      </c>
      <c r="AG126" s="16"/>
      <c r="AH126" s="15" t="str">
        <f t="shared" si="22"/>
        <v>-</v>
      </c>
      <c r="AO126" s="15">
        <f t="shared" si="23"/>
        <v>22.799999999999997</v>
      </c>
      <c r="AP126" s="15">
        <f t="shared" si="30"/>
        <v>14.2</v>
      </c>
      <c r="AQ126" s="3" t="e">
        <f t="shared" si="25"/>
        <v>#VALUE!</v>
      </c>
      <c r="AR126" s="15">
        <f t="shared" si="26"/>
        <v>0</v>
      </c>
      <c r="AS126" s="3">
        <f t="shared" si="27"/>
        <v>0</v>
      </c>
      <c r="AT126" s="3">
        <f t="shared" si="28"/>
        <v>0</v>
      </c>
      <c r="AU126" s="16" t="e">
        <f t="shared" si="29"/>
        <v>#VALUE!</v>
      </c>
      <c r="AW126" s="3">
        <f t="shared" si="18"/>
        <v>6100000</v>
      </c>
      <c r="AX126" s="3" t="e">
        <f t="shared" si="19"/>
        <v>#VALUE!</v>
      </c>
    </row>
    <row r="127" spans="1:50" ht="17" thickBot="1" x14ac:dyDescent="0.25">
      <c r="A127" s="5" t="s">
        <v>25</v>
      </c>
      <c r="B127" s="12" t="s">
        <v>26</v>
      </c>
      <c r="C127" s="12" t="s">
        <v>156</v>
      </c>
      <c r="D127" s="13" t="s">
        <v>35</v>
      </c>
      <c r="E127" s="14" t="s">
        <v>35</v>
      </c>
      <c r="F127" s="14" t="s">
        <v>35</v>
      </c>
      <c r="G127" s="14" t="s">
        <v>35</v>
      </c>
      <c r="H127" s="13">
        <v>17</v>
      </c>
      <c r="I127" s="14">
        <v>104962.92161999999</v>
      </c>
      <c r="J127" s="14">
        <v>698.38446999999996</v>
      </c>
      <c r="K127" s="14">
        <v>0.8</v>
      </c>
      <c r="L127" s="13" t="s">
        <v>35</v>
      </c>
      <c r="M127" s="14" t="s">
        <v>35</v>
      </c>
      <c r="N127" s="14" t="s">
        <v>35</v>
      </c>
      <c r="O127" s="14" t="s">
        <v>35</v>
      </c>
      <c r="P127" s="13">
        <v>12</v>
      </c>
      <c r="Q127" s="14">
        <v>74049.946500000005</v>
      </c>
      <c r="R127" s="14">
        <v>1650.75269</v>
      </c>
      <c r="S127" s="14">
        <v>0</v>
      </c>
      <c r="W127" s="2" t="s">
        <v>157</v>
      </c>
      <c r="AA127" s="15" t="str">
        <f t="shared" si="21"/>
        <v>-</v>
      </c>
      <c r="AG127" s="16"/>
      <c r="AH127" s="15" t="str">
        <f t="shared" si="22"/>
        <v>-</v>
      </c>
      <c r="AO127" s="15">
        <f t="shared" si="23"/>
        <v>10.599999999999998</v>
      </c>
      <c r="AP127" s="15">
        <f t="shared" si="30"/>
        <v>14.2</v>
      </c>
      <c r="AQ127" s="3" t="e">
        <f t="shared" si="25"/>
        <v>#VALUE!</v>
      </c>
      <c r="AR127" s="15">
        <f t="shared" si="26"/>
        <v>0</v>
      </c>
      <c r="AS127" s="3">
        <f t="shared" si="27"/>
        <v>0</v>
      </c>
      <c r="AT127" s="3">
        <f t="shared" si="28"/>
        <v>0</v>
      </c>
      <c r="AU127" s="16" t="e">
        <f t="shared" si="29"/>
        <v>#VALUE!</v>
      </c>
      <c r="AW127" s="3">
        <f t="shared" si="18"/>
        <v>6150000</v>
      </c>
      <c r="AX127" s="3" t="e">
        <f t="shared" si="19"/>
        <v>#VALUE!</v>
      </c>
    </row>
    <row r="128" spans="1:50" ht="17" thickBot="1" x14ac:dyDescent="0.25">
      <c r="A128" s="5" t="s">
        <v>25</v>
      </c>
      <c r="B128" s="12" t="s">
        <v>26</v>
      </c>
      <c r="C128" s="12" t="s">
        <v>158</v>
      </c>
      <c r="D128" s="13" t="s">
        <v>35</v>
      </c>
      <c r="E128" s="14" t="s">
        <v>35</v>
      </c>
      <c r="F128" s="14" t="s">
        <v>35</v>
      </c>
      <c r="G128" s="14" t="s">
        <v>35</v>
      </c>
      <c r="H128" s="13">
        <v>14</v>
      </c>
      <c r="I128" s="14">
        <v>87240.677060000002</v>
      </c>
      <c r="J128" s="14">
        <v>426.24169000000001</v>
      </c>
      <c r="K128" s="14">
        <v>0.71</v>
      </c>
      <c r="L128" s="13" t="s">
        <v>35</v>
      </c>
      <c r="M128" s="14" t="s">
        <v>35</v>
      </c>
      <c r="N128" s="14" t="s">
        <v>35</v>
      </c>
      <c r="O128" s="14" t="s">
        <v>35</v>
      </c>
      <c r="P128" s="13">
        <v>17</v>
      </c>
      <c r="Q128" s="14">
        <v>105766.83216000001</v>
      </c>
      <c r="R128" s="14">
        <v>3377.0900700000002</v>
      </c>
      <c r="S128" s="14">
        <v>0</v>
      </c>
      <c r="W128" s="24" t="s">
        <v>159</v>
      </c>
      <c r="X128" s="29">
        <f>Y123/X126</f>
        <v>0.38362904897831718</v>
      </c>
      <c r="AA128" s="15" t="str">
        <f t="shared" si="21"/>
        <v>-</v>
      </c>
      <c r="AG128" s="16"/>
      <c r="AH128" s="15" t="str">
        <f t="shared" si="22"/>
        <v>-</v>
      </c>
      <c r="AO128" s="15">
        <f t="shared" si="23"/>
        <v>5.3999999999999986</v>
      </c>
      <c r="AP128" s="15">
        <f t="shared" si="30"/>
        <v>14.2</v>
      </c>
      <c r="AQ128" s="3" t="e">
        <f t="shared" si="25"/>
        <v>#VALUE!</v>
      </c>
      <c r="AR128" s="15">
        <f t="shared" si="26"/>
        <v>0</v>
      </c>
      <c r="AS128" s="3">
        <f t="shared" si="27"/>
        <v>0</v>
      </c>
      <c r="AT128" s="3">
        <f t="shared" si="28"/>
        <v>0</v>
      </c>
      <c r="AU128" s="16" t="e">
        <f t="shared" si="29"/>
        <v>#VALUE!</v>
      </c>
      <c r="AW128" s="3">
        <f t="shared" si="18"/>
        <v>6200000</v>
      </c>
      <c r="AX128" s="3" t="e">
        <f t="shared" si="19"/>
        <v>#VALUE!</v>
      </c>
    </row>
    <row r="129" spans="1:50" ht="17" thickBot="1" x14ac:dyDescent="0.25">
      <c r="A129" s="5" t="s">
        <v>25</v>
      </c>
      <c r="B129" s="12" t="s">
        <v>26</v>
      </c>
      <c r="C129" s="12" t="s">
        <v>160</v>
      </c>
      <c r="D129" s="13" t="s">
        <v>35</v>
      </c>
      <c r="E129" s="14" t="s">
        <v>35</v>
      </c>
      <c r="F129" s="14" t="s">
        <v>35</v>
      </c>
      <c r="G129" s="14" t="s">
        <v>35</v>
      </c>
      <c r="H129" s="13">
        <v>15</v>
      </c>
      <c r="I129" s="14">
        <v>94133.384959999996</v>
      </c>
      <c r="J129" s="14">
        <v>435.69610999999998</v>
      </c>
      <c r="K129" s="14">
        <v>6.48</v>
      </c>
      <c r="L129" s="13" t="s">
        <v>35</v>
      </c>
      <c r="M129" s="14" t="s">
        <v>35</v>
      </c>
      <c r="N129" s="14" t="s">
        <v>35</v>
      </c>
      <c r="O129" s="14" t="s">
        <v>35</v>
      </c>
      <c r="P129" s="13">
        <v>16</v>
      </c>
      <c r="Q129" s="14">
        <v>100345.48884000001</v>
      </c>
      <c r="R129" s="14">
        <v>3262.2207699999999</v>
      </c>
      <c r="S129" s="14">
        <v>0</v>
      </c>
      <c r="AA129" s="15" t="str">
        <f t="shared" si="21"/>
        <v>-</v>
      </c>
      <c r="AG129" s="16"/>
      <c r="AH129" s="15" t="str">
        <f t="shared" si="22"/>
        <v>-</v>
      </c>
      <c r="AO129" s="15">
        <f t="shared" si="23"/>
        <v>4.4000000000000021</v>
      </c>
      <c r="AP129" s="15">
        <f t="shared" si="30"/>
        <v>14.2</v>
      </c>
      <c r="AQ129" s="3" t="e">
        <f t="shared" si="25"/>
        <v>#VALUE!</v>
      </c>
      <c r="AR129" s="15">
        <f t="shared" si="26"/>
        <v>0</v>
      </c>
      <c r="AS129" s="3">
        <f t="shared" si="27"/>
        <v>0</v>
      </c>
      <c r="AT129" s="3">
        <f t="shared" si="28"/>
        <v>0</v>
      </c>
      <c r="AU129" s="16" t="e">
        <f t="shared" si="29"/>
        <v>#VALUE!</v>
      </c>
      <c r="AW129" s="3">
        <f t="shared" si="18"/>
        <v>6250000</v>
      </c>
      <c r="AX129" s="3" t="e">
        <f t="shared" si="19"/>
        <v>#VALUE!</v>
      </c>
    </row>
    <row r="130" spans="1:50" ht="17" thickBot="1" x14ac:dyDescent="0.25">
      <c r="A130" s="5" t="s">
        <v>25</v>
      </c>
      <c r="B130" s="12" t="s">
        <v>26</v>
      </c>
      <c r="C130" s="12" t="s">
        <v>161</v>
      </c>
      <c r="D130" s="13" t="s">
        <v>35</v>
      </c>
      <c r="E130" s="14" t="s">
        <v>35</v>
      </c>
      <c r="F130" s="14" t="s">
        <v>35</v>
      </c>
      <c r="G130" s="14" t="s">
        <v>35</v>
      </c>
      <c r="H130" s="13">
        <v>16</v>
      </c>
      <c r="I130" s="14">
        <v>101144.75866000001</v>
      </c>
      <c r="J130" s="14">
        <v>372.31279000000001</v>
      </c>
      <c r="K130" s="14">
        <v>5.0599999999999996</v>
      </c>
      <c r="L130" s="13" t="s">
        <v>35</v>
      </c>
      <c r="M130" s="14" t="s">
        <v>35</v>
      </c>
      <c r="N130" s="14" t="s">
        <v>35</v>
      </c>
      <c r="O130" s="14" t="s">
        <v>35</v>
      </c>
      <c r="P130" s="13">
        <v>14</v>
      </c>
      <c r="Q130" s="14">
        <v>88556.569270000007</v>
      </c>
      <c r="R130" s="14">
        <v>2790.7269099999999</v>
      </c>
      <c r="S130" s="14">
        <v>0</v>
      </c>
      <c r="AA130" s="15" t="str">
        <f t="shared" si="21"/>
        <v>-</v>
      </c>
      <c r="AG130" s="16"/>
      <c r="AH130" s="15" t="str">
        <f t="shared" si="22"/>
        <v>-</v>
      </c>
      <c r="AO130" s="15">
        <f t="shared" si="23"/>
        <v>-1.4000000000000021</v>
      </c>
      <c r="AP130" s="15">
        <f t="shared" si="30"/>
        <v>14.2</v>
      </c>
      <c r="AQ130" s="3" t="e">
        <f t="shared" si="25"/>
        <v>#VALUE!</v>
      </c>
      <c r="AR130" s="15" t="e">
        <f t="shared" si="26"/>
        <v>#VALUE!</v>
      </c>
      <c r="AS130" s="3" t="e">
        <f t="shared" si="27"/>
        <v>#VALUE!</v>
      </c>
      <c r="AT130" s="3" t="e">
        <f t="shared" si="28"/>
        <v>#VALUE!</v>
      </c>
      <c r="AU130" s="16" t="e">
        <f t="shared" si="29"/>
        <v>#VALUE!</v>
      </c>
      <c r="AW130" s="3">
        <f t="shared" si="18"/>
        <v>6300000</v>
      </c>
      <c r="AX130" s="3" t="e">
        <f t="shared" si="19"/>
        <v>#VALUE!</v>
      </c>
    </row>
    <row r="131" spans="1:50" ht="17" thickBot="1" x14ac:dyDescent="0.25">
      <c r="A131" s="5" t="s">
        <v>25</v>
      </c>
      <c r="B131" s="12" t="s">
        <v>26</v>
      </c>
      <c r="C131" s="12" t="s">
        <v>162</v>
      </c>
      <c r="D131" s="13" t="s">
        <v>35</v>
      </c>
      <c r="E131" s="14" t="s">
        <v>35</v>
      </c>
      <c r="F131" s="14" t="s">
        <v>35</v>
      </c>
      <c r="G131" s="14" t="s">
        <v>35</v>
      </c>
      <c r="H131" s="13">
        <v>9</v>
      </c>
      <c r="I131" s="14">
        <v>57374.427239999997</v>
      </c>
      <c r="J131" s="14">
        <v>252.67439999999999</v>
      </c>
      <c r="K131" s="14">
        <v>0</v>
      </c>
      <c r="L131" s="13" t="s">
        <v>35</v>
      </c>
      <c r="M131" s="14" t="s">
        <v>35</v>
      </c>
      <c r="N131" s="14" t="s">
        <v>35</v>
      </c>
      <c r="O131" s="14" t="s">
        <v>35</v>
      </c>
      <c r="P131" s="13">
        <v>14</v>
      </c>
      <c r="Q131" s="14">
        <v>89215.327669999999</v>
      </c>
      <c r="R131" s="14">
        <v>3114.7431299999998</v>
      </c>
      <c r="S131" s="14">
        <v>0</v>
      </c>
      <c r="AA131" s="15" t="str">
        <f t="shared" si="21"/>
        <v>-</v>
      </c>
      <c r="AG131" s="16"/>
      <c r="AH131" s="15" t="str">
        <f t="shared" si="22"/>
        <v>-</v>
      </c>
      <c r="AO131" s="15">
        <f t="shared" si="23"/>
        <v>-2.2000000000000011</v>
      </c>
      <c r="AP131" s="15">
        <f t="shared" si="30"/>
        <v>14.2</v>
      </c>
      <c r="AQ131" s="3" t="e">
        <f t="shared" si="25"/>
        <v>#VALUE!</v>
      </c>
      <c r="AR131" s="15" t="e">
        <f t="shared" si="26"/>
        <v>#VALUE!</v>
      </c>
      <c r="AS131" s="3" t="e">
        <f t="shared" si="27"/>
        <v>#VALUE!</v>
      </c>
      <c r="AT131" s="3" t="e">
        <f t="shared" si="28"/>
        <v>#VALUE!</v>
      </c>
      <c r="AU131" s="16" t="e">
        <f t="shared" si="29"/>
        <v>#VALUE!</v>
      </c>
      <c r="AW131" s="3">
        <f t="shared" si="18"/>
        <v>6350000</v>
      </c>
      <c r="AX131" s="3" t="e">
        <f t="shared" si="19"/>
        <v>#VALUE!</v>
      </c>
    </row>
    <row r="132" spans="1:50" ht="17" thickBot="1" x14ac:dyDescent="0.25">
      <c r="A132" s="5" t="s">
        <v>25</v>
      </c>
      <c r="B132" s="12" t="s">
        <v>26</v>
      </c>
      <c r="C132" s="12" t="s">
        <v>163</v>
      </c>
      <c r="D132" s="13" t="s">
        <v>35</v>
      </c>
      <c r="E132" s="14" t="s">
        <v>35</v>
      </c>
      <c r="F132" s="14" t="s">
        <v>35</v>
      </c>
      <c r="G132" s="14" t="s">
        <v>35</v>
      </c>
      <c r="H132" s="13">
        <v>5</v>
      </c>
      <c r="I132" s="14">
        <v>32128.71026</v>
      </c>
      <c r="J132" s="14">
        <v>82.768039999999999</v>
      </c>
      <c r="K132" s="14">
        <v>1.51</v>
      </c>
      <c r="L132" s="13" t="s">
        <v>35</v>
      </c>
      <c r="M132" s="14" t="s">
        <v>35</v>
      </c>
      <c r="N132" s="14" t="s">
        <v>35</v>
      </c>
      <c r="O132" s="14" t="s">
        <v>35</v>
      </c>
      <c r="P132" s="13">
        <v>22</v>
      </c>
      <c r="Q132" s="14">
        <v>141192.63926</v>
      </c>
      <c r="R132" s="14">
        <v>4933.05879</v>
      </c>
      <c r="S132" s="14">
        <v>0</v>
      </c>
      <c r="AA132" s="15" t="str">
        <f t="shared" si="21"/>
        <v>-</v>
      </c>
      <c r="AG132" s="16"/>
      <c r="AH132" s="15" t="str">
        <f t="shared" si="22"/>
        <v>-</v>
      </c>
      <c r="AO132" s="15">
        <f t="shared" si="23"/>
        <v>1.8000000000000007</v>
      </c>
      <c r="AP132" s="15">
        <f t="shared" si="30"/>
        <v>14.2</v>
      </c>
      <c r="AQ132" s="3" t="e">
        <f t="shared" si="25"/>
        <v>#VALUE!</v>
      </c>
      <c r="AR132" s="15">
        <f t="shared" si="26"/>
        <v>0</v>
      </c>
      <c r="AS132" s="3">
        <f t="shared" si="27"/>
        <v>0</v>
      </c>
      <c r="AT132" s="3">
        <f t="shared" si="28"/>
        <v>0</v>
      </c>
      <c r="AU132" s="16" t="e">
        <f t="shared" si="29"/>
        <v>#VALUE!</v>
      </c>
      <c r="AW132" s="3">
        <f t="shared" si="18"/>
        <v>6400000</v>
      </c>
      <c r="AX132" s="3" t="e">
        <f t="shared" si="19"/>
        <v>#VALUE!</v>
      </c>
    </row>
    <row r="133" spans="1:50" ht="17" thickBot="1" x14ac:dyDescent="0.25">
      <c r="A133" s="5" t="s">
        <v>25</v>
      </c>
      <c r="B133" s="12" t="s">
        <v>26</v>
      </c>
      <c r="C133" s="12" t="s">
        <v>164</v>
      </c>
      <c r="D133" s="13" t="s">
        <v>35</v>
      </c>
      <c r="E133" s="14" t="s">
        <v>35</v>
      </c>
      <c r="F133" s="14" t="s">
        <v>35</v>
      </c>
      <c r="G133" s="14" t="s">
        <v>35</v>
      </c>
      <c r="H133" s="13">
        <v>5</v>
      </c>
      <c r="I133" s="14">
        <v>32366.95362</v>
      </c>
      <c r="J133" s="14">
        <v>148.91399999999999</v>
      </c>
      <c r="K133" s="14">
        <v>0</v>
      </c>
      <c r="L133" s="13" t="s">
        <v>35</v>
      </c>
      <c r="M133" s="14" t="s">
        <v>35</v>
      </c>
      <c r="N133" s="14" t="s">
        <v>35</v>
      </c>
      <c r="O133" s="14" t="s">
        <v>35</v>
      </c>
      <c r="P133" s="13">
        <v>18</v>
      </c>
      <c r="Q133" s="14">
        <v>116523.05091000001</v>
      </c>
      <c r="R133" s="14">
        <v>4193.6603400000004</v>
      </c>
      <c r="S133" s="14">
        <v>0</v>
      </c>
      <c r="AA133" s="15" t="str">
        <f t="shared" si="21"/>
        <v>-</v>
      </c>
      <c r="AG133" s="16"/>
      <c r="AH133" s="15" t="str">
        <f t="shared" si="22"/>
        <v>-</v>
      </c>
      <c r="AI133" s="15"/>
      <c r="AJ133" s="3"/>
      <c r="AK133" s="15"/>
      <c r="AL133" s="3"/>
      <c r="AM133" s="3"/>
      <c r="AO133" s="15">
        <f t="shared" si="23"/>
        <v>2.2000000000000011</v>
      </c>
      <c r="AP133" s="15">
        <f t="shared" si="30"/>
        <v>14.2</v>
      </c>
      <c r="AQ133" s="3" t="e">
        <f t="shared" si="25"/>
        <v>#VALUE!</v>
      </c>
      <c r="AR133" s="15">
        <f t="shared" si="26"/>
        <v>0</v>
      </c>
      <c r="AS133" s="3">
        <f t="shared" si="27"/>
        <v>0</v>
      </c>
      <c r="AT133" s="3">
        <f t="shared" si="28"/>
        <v>0</v>
      </c>
      <c r="AU133" s="16" t="e">
        <f t="shared" si="29"/>
        <v>#VALUE!</v>
      </c>
      <c r="AW133" s="3">
        <f t="shared" ref="AW133:AW196" si="35">--MID(C133,FIND("від",C133)+4,FIND("грн",C133,FIND("від",C133))-FIND("від",C133)-4)</f>
        <v>6450000</v>
      </c>
      <c r="AX133" s="3" t="e">
        <f t="shared" ref="AX133:AX196" si="36">--MID(C133,FIND("до",C133)+3,FIND("грн",C133,FIND("до",C133))-FIND("до",C133)-3)</f>
        <v>#VALUE!</v>
      </c>
    </row>
    <row r="134" spans="1:50" ht="17" thickBot="1" x14ac:dyDescent="0.25">
      <c r="A134" s="5" t="s">
        <v>25</v>
      </c>
      <c r="B134" s="12" t="s">
        <v>26</v>
      </c>
      <c r="C134" s="12" t="s">
        <v>165</v>
      </c>
      <c r="D134" s="13" t="s">
        <v>35</v>
      </c>
      <c r="E134" s="14" t="s">
        <v>35</v>
      </c>
      <c r="F134" s="14" t="s">
        <v>35</v>
      </c>
      <c r="G134" s="14" t="s">
        <v>35</v>
      </c>
      <c r="H134" s="13">
        <v>2</v>
      </c>
      <c r="I134" s="14">
        <v>13020.313480000001</v>
      </c>
      <c r="J134" s="14">
        <v>32.659999999999997</v>
      </c>
      <c r="K134" s="14">
        <v>0.71</v>
      </c>
      <c r="L134" s="13" t="s">
        <v>35</v>
      </c>
      <c r="M134" s="14" t="s">
        <v>35</v>
      </c>
      <c r="N134" s="14" t="s">
        <v>35</v>
      </c>
      <c r="O134" s="14" t="s">
        <v>35</v>
      </c>
      <c r="P134" s="13">
        <v>14</v>
      </c>
      <c r="Q134" s="14">
        <v>91294.022509999995</v>
      </c>
      <c r="R134" s="14">
        <v>3563.9051100000001</v>
      </c>
      <c r="S134" s="14">
        <v>0</v>
      </c>
      <c r="AA134" s="15" t="str">
        <f t="shared" si="21"/>
        <v>-</v>
      </c>
      <c r="AG134" s="16"/>
      <c r="AH134" s="15" t="str">
        <f t="shared" si="22"/>
        <v>-</v>
      </c>
      <c r="AI134" s="15"/>
      <c r="AJ134" s="3"/>
      <c r="AK134" s="15"/>
      <c r="AL134" s="3"/>
      <c r="AM134" s="3"/>
      <c r="AO134" s="15">
        <f t="shared" si="23"/>
        <v>0.99999999999999822</v>
      </c>
      <c r="AP134" s="15">
        <f t="shared" si="30"/>
        <v>14.2</v>
      </c>
      <c r="AQ134" s="3" t="e">
        <f t="shared" si="25"/>
        <v>#VALUE!</v>
      </c>
      <c r="AR134" s="15">
        <f t="shared" si="26"/>
        <v>0</v>
      </c>
      <c r="AS134" s="3">
        <f t="shared" si="27"/>
        <v>0</v>
      </c>
      <c r="AT134" s="3">
        <f t="shared" si="28"/>
        <v>0</v>
      </c>
      <c r="AU134" s="16" t="e">
        <f t="shared" si="29"/>
        <v>#VALUE!</v>
      </c>
      <c r="AW134" s="3">
        <f t="shared" si="35"/>
        <v>6500000</v>
      </c>
      <c r="AX134" s="3" t="e">
        <f t="shared" si="36"/>
        <v>#VALUE!</v>
      </c>
    </row>
    <row r="135" spans="1:50" ht="17" thickBot="1" x14ac:dyDescent="0.25">
      <c r="A135" s="5" t="s">
        <v>25</v>
      </c>
      <c r="B135" s="12" t="s">
        <v>26</v>
      </c>
      <c r="C135" s="12" t="s">
        <v>166</v>
      </c>
      <c r="D135" s="13" t="s">
        <v>35</v>
      </c>
      <c r="E135" s="14" t="s">
        <v>35</v>
      </c>
      <c r="F135" s="14" t="s">
        <v>35</v>
      </c>
      <c r="G135" s="14" t="s">
        <v>35</v>
      </c>
      <c r="H135" s="13">
        <v>6</v>
      </c>
      <c r="I135" s="14">
        <v>39444.027499999997</v>
      </c>
      <c r="J135" s="14">
        <v>70.17</v>
      </c>
      <c r="K135" s="14">
        <v>0</v>
      </c>
      <c r="L135" s="13" t="s">
        <v>35</v>
      </c>
      <c r="M135" s="14" t="s">
        <v>35</v>
      </c>
      <c r="N135" s="14" t="s">
        <v>35</v>
      </c>
      <c r="O135" s="14" t="s">
        <v>35</v>
      </c>
      <c r="P135" s="13">
        <v>20</v>
      </c>
      <c r="Q135" s="14">
        <v>131512.36707000001</v>
      </c>
      <c r="R135" s="14">
        <v>4975.74766</v>
      </c>
      <c r="S135" s="14">
        <v>0</v>
      </c>
      <c r="AA135" s="15" t="str">
        <f t="shared" si="21"/>
        <v>-</v>
      </c>
      <c r="AG135" s="16"/>
      <c r="AH135" s="15" t="str">
        <f t="shared" si="22"/>
        <v>-</v>
      </c>
      <c r="AI135" s="15"/>
      <c r="AJ135" s="3"/>
      <c r="AK135" s="15"/>
      <c r="AL135" s="3"/>
      <c r="AM135" s="3"/>
      <c r="AO135" s="15">
        <f t="shared" si="23"/>
        <v>3.4000000000000021</v>
      </c>
      <c r="AP135" s="15">
        <f t="shared" si="30"/>
        <v>14.2</v>
      </c>
      <c r="AQ135" s="3" t="e">
        <f t="shared" si="25"/>
        <v>#VALUE!</v>
      </c>
      <c r="AR135" s="15">
        <f t="shared" si="26"/>
        <v>0</v>
      </c>
      <c r="AS135" s="3">
        <f t="shared" si="27"/>
        <v>0</v>
      </c>
      <c r="AT135" s="3">
        <f t="shared" si="28"/>
        <v>0</v>
      </c>
      <c r="AU135" s="16" t="e">
        <f t="shared" si="29"/>
        <v>#VALUE!</v>
      </c>
      <c r="AW135" s="3">
        <f t="shared" si="35"/>
        <v>6550000</v>
      </c>
      <c r="AX135" s="3" t="e">
        <f t="shared" si="36"/>
        <v>#VALUE!</v>
      </c>
    </row>
    <row r="136" spans="1:50" ht="17" thickBot="1" x14ac:dyDescent="0.25">
      <c r="A136" s="5" t="s">
        <v>25</v>
      </c>
      <c r="B136" s="12" t="s">
        <v>26</v>
      </c>
      <c r="C136" s="12" t="s">
        <v>167</v>
      </c>
      <c r="D136" s="13" t="s">
        <v>35</v>
      </c>
      <c r="E136" s="14" t="s">
        <v>35</v>
      </c>
      <c r="F136" s="14" t="s">
        <v>35</v>
      </c>
      <c r="G136" s="14" t="s">
        <v>35</v>
      </c>
      <c r="H136" s="13">
        <v>6</v>
      </c>
      <c r="I136" s="14">
        <v>39755.462030000002</v>
      </c>
      <c r="J136" s="14">
        <v>92.507959999999997</v>
      </c>
      <c r="K136" s="14">
        <v>0.71</v>
      </c>
      <c r="L136" s="13" t="s">
        <v>35</v>
      </c>
      <c r="M136" s="14" t="s">
        <v>35</v>
      </c>
      <c r="N136" s="14" t="s">
        <v>35</v>
      </c>
      <c r="O136" s="14" t="s">
        <v>35</v>
      </c>
      <c r="P136" s="13">
        <v>10</v>
      </c>
      <c r="Q136" s="14">
        <v>66146.898509999999</v>
      </c>
      <c r="R136" s="14">
        <v>2073.2411999999999</v>
      </c>
      <c r="S136" s="14">
        <v>0</v>
      </c>
      <c r="AA136" s="15" t="str">
        <f t="shared" si="21"/>
        <v>-</v>
      </c>
      <c r="AG136" s="16"/>
      <c r="AH136" s="15" t="str">
        <f t="shared" si="22"/>
        <v>-</v>
      </c>
      <c r="AI136" s="15"/>
      <c r="AJ136" s="3"/>
      <c r="AK136" s="15"/>
      <c r="AL136" s="3"/>
      <c r="AM136" s="3"/>
      <c r="AO136" s="15">
        <f t="shared" si="23"/>
        <v>1.4000000000000004</v>
      </c>
      <c r="AP136" s="15">
        <f t="shared" si="30"/>
        <v>14.2</v>
      </c>
      <c r="AQ136" s="3" t="e">
        <f t="shared" si="25"/>
        <v>#VALUE!</v>
      </c>
      <c r="AR136" s="15">
        <f t="shared" si="26"/>
        <v>0</v>
      </c>
      <c r="AS136" s="3">
        <f t="shared" si="27"/>
        <v>0</v>
      </c>
      <c r="AT136" s="3">
        <f t="shared" si="28"/>
        <v>0</v>
      </c>
      <c r="AU136" s="16" t="e">
        <f t="shared" si="29"/>
        <v>#VALUE!</v>
      </c>
      <c r="AW136" s="3">
        <f t="shared" si="35"/>
        <v>6600000</v>
      </c>
      <c r="AX136" s="3" t="e">
        <f t="shared" si="36"/>
        <v>#VALUE!</v>
      </c>
    </row>
    <row r="137" spans="1:50" ht="17" thickBot="1" x14ac:dyDescent="0.25">
      <c r="A137" s="5" t="s">
        <v>25</v>
      </c>
      <c r="B137" s="12" t="s">
        <v>26</v>
      </c>
      <c r="C137" s="12" t="s">
        <v>168</v>
      </c>
      <c r="D137" s="13" t="s">
        <v>35</v>
      </c>
      <c r="E137" s="14" t="s">
        <v>35</v>
      </c>
      <c r="F137" s="14" t="s">
        <v>35</v>
      </c>
      <c r="G137" s="14" t="s">
        <v>35</v>
      </c>
      <c r="H137" s="13">
        <v>2</v>
      </c>
      <c r="I137" s="14">
        <v>13355.527980000001</v>
      </c>
      <c r="J137" s="14">
        <v>34.26</v>
      </c>
      <c r="K137" s="14">
        <v>0</v>
      </c>
      <c r="L137" s="13" t="s">
        <v>35</v>
      </c>
      <c r="M137" s="14" t="s">
        <v>35</v>
      </c>
      <c r="N137" s="14" t="s">
        <v>35</v>
      </c>
      <c r="O137" s="14" t="s">
        <v>35</v>
      </c>
      <c r="P137" s="13">
        <v>12</v>
      </c>
      <c r="Q137" s="14">
        <v>80073.615099999995</v>
      </c>
      <c r="R137" s="14">
        <v>2718.5772499999998</v>
      </c>
      <c r="S137" s="14">
        <v>0</v>
      </c>
      <c r="AA137" s="15" t="str">
        <f t="shared" si="21"/>
        <v>-</v>
      </c>
      <c r="AG137" s="16"/>
      <c r="AH137" s="15" t="str">
        <f t="shared" si="22"/>
        <v>-</v>
      </c>
      <c r="AI137" s="15"/>
      <c r="AJ137" s="3"/>
      <c r="AK137" s="15"/>
      <c r="AL137" s="3"/>
      <c r="AM137" s="3"/>
      <c r="AO137" s="15">
        <f t="shared" si="23"/>
        <v>-1.5999999999999979</v>
      </c>
      <c r="AP137" s="15">
        <f t="shared" si="30"/>
        <v>14.2</v>
      </c>
      <c r="AQ137" s="3" t="e">
        <f t="shared" si="25"/>
        <v>#VALUE!</v>
      </c>
      <c r="AR137" s="15" t="e">
        <f t="shared" si="26"/>
        <v>#VALUE!</v>
      </c>
      <c r="AS137" s="3" t="e">
        <f t="shared" si="27"/>
        <v>#VALUE!</v>
      </c>
      <c r="AT137" s="3" t="e">
        <f t="shared" si="28"/>
        <v>#VALUE!</v>
      </c>
      <c r="AU137" s="16" t="e">
        <f t="shared" si="29"/>
        <v>#VALUE!</v>
      </c>
      <c r="AW137" s="3">
        <f t="shared" si="35"/>
        <v>6650000</v>
      </c>
      <c r="AX137" s="3" t="e">
        <f t="shared" si="36"/>
        <v>#VALUE!</v>
      </c>
    </row>
    <row r="138" spans="1:50" ht="17" thickBot="1" x14ac:dyDescent="0.25">
      <c r="A138" s="5" t="s">
        <v>25</v>
      </c>
      <c r="B138" s="12" t="s">
        <v>26</v>
      </c>
      <c r="C138" s="12" t="s">
        <v>169</v>
      </c>
      <c r="D138" s="13" t="s">
        <v>35</v>
      </c>
      <c r="E138" s="14" t="s">
        <v>35</v>
      </c>
      <c r="F138" s="14" t="s">
        <v>35</v>
      </c>
      <c r="G138" s="14" t="s">
        <v>35</v>
      </c>
      <c r="H138" s="13">
        <v>3</v>
      </c>
      <c r="I138" s="14">
        <v>20170.992149999998</v>
      </c>
      <c r="J138" s="14">
        <v>119.84</v>
      </c>
      <c r="K138" s="14">
        <v>0</v>
      </c>
      <c r="L138" s="13" t="s">
        <v>35</v>
      </c>
      <c r="M138" s="14" t="s">
        <v>35</v>
      </c>
      <c r="N138" s="14" t="s">
        <v>35</v>
      </c>
      <c r="O138" s="14" t="s">
        <v>35</v>
      </c>
      <c r="P138" s="13">
        <v>17</v>
      </c>
      <c r="Q138" s="14">
        <v>114307.78986999999</v>
      </c>
      <c r="R138" s="14">
        <v>4183.2632000000003</v>
      </c>
      <c r="S138" s="14">
        <v>0</v>
      </c>
      <c r="AA138" s="15" t="str">
        <f t="shared" ref="AA138:AA201" si="37">IFERROR(AVERAGE(D134:D138)-AVERAGE(D139:D143),"-")</f>
        <v>-</v>
      </c>
      <c r="AG138" s="16"/>
      <c r="AH138" s="15" t="str">
        <f t="shared" ref="AH138:AH193" si="38">IFERROR(AVERAGE(L134:L138)-AVERAGE(L139:L143),"-")</f>
        <v>-</v>
      </c>
      <c r="AI138" s="15"/>
      <c r="AJ138" s="3"/>
      <c r="AK138" s="15"/>
      <c r="AL138" s="3"/>
      <c r="AM138" s="3"/>
      <c r="AO138" s="15">
        <f t="shared" ref="AO138:AO184" si="39">AVERAGE(P134:P138)-AVERAGE(P139:P143)</f>
        <v>-2.0000000000000018</v>
      </c>
      <c r="AP138" s="15">
        <f t="shared" si="30"/>
        <v>14.2</v>
      </c>
      <c r="AQ138" s="3" t="e">
        <f t="shared" si="25"/>
        <v>#VALUE!</v>
      </c>
      <c r="AR138" s="15" t="e">
        <f t="shared" si="26"/>
        <v>#VALUE!</v>
      </c>
      <c r="AS138" s="3" t="e">
        <f t="shared" si="27"/>
        <v>#VALUE!</v>
      </c>
      <c r="AT138" s="3" t="e">
        <f t="shared" si="28"/>
        <v>#VALUE!</v>
      </c>
      <c r="AU138" s="16" t="e">
        <f t="shared" si="29"/>
        <v>#VALUE!</v>
      </c>
      <c r="AW138" s="3">
        <f t="shared" si="35"/>
        <v>6700000</v>
      </c>
      <c r="AX138" s="3" t="e">
        <f t="shared" si="36"/>
        <v>#VALUE!</v>
      </c>
    </row>
    <row r="139" spans="1:50" ht="17" thickBot="1" x14ac:dyDescent="0.25">
      <c r="A139" s="5" t="s">
        <v>25</v>
      </c>
      <c r="B139" s="12" t="s">
        <v>26</v>
      </c>
      <c r="C139" s="12" t="s">
        <v>170</v>
      </c>
      <c r="D139" s="13" t="s">
        <v>35</v>
      </c>
      <c r="E139" s="14" t="s">
        <v>35</v>
      </c>
      <c r="F139" s="14" t="s">
        <v>35</v>
      </c>
      <c r="G139" s="14" t="s">
        <v>35</v>
      </c>
      <c r="H139" s="13">
        <v>3</v>
      </c>
      <c r="I139" s="14">
        <v>20318.407179999998</v>
      </c>
      <c r="J139" s="14">
        <v>34.89</v>
      </c>
      <c r="K139" s="14">
        <v>0</v>
      </c>
      <c r="L139" s="13" t="s">
        <v>35</v>
      </c>
      <c r="M139" s="14" t="s">
        <v>35</v>
      </c>
      <c r="N139" s="14" t="s">
        <v>35</v>
      </c>
      <c r="O139" s="14" t="s">
        <v>35</v>
      </c>
      <c r="P139" s="13">
        <v>18</v>
      </c>
      <c r="Q139" s="14">
        <v>122002.16726</v>
      </c>
      <c r="R139" s="14">
        <v>4571.4255700000003</v>
      </c>
      <c r="S139" s="14">
        <v>0</v>
      </c>
      <c r="AA139" s="15" t="str">
        <f t="shared" si="37"/>
        <v>-</v>
      </c>
      <c r="AG139" s="16"/>
      <c r="AH139" s="15" t="str">
        <f t="shared" si="38"/>
        <v>-</v>
      </c>
      <c r="AI139" s="15"/>
      <c r="AJ139" s="3"/>
      <c r="AK139" s="15"/>
      <c r="AL139" s="3"/>
      <c r="AM139" s="3"/>
      <c r="AO139" s="15">
        <f t="shared" si="39"/>
        <v>-0.19999999999999929</v>
      </c>
      <c r="AP139" s="15">
        <f t="shared" si="30"/>
        <v>14.2</v>
      </c>
      <c r="AQ139" s="3" t="e">
        <f t="shared" si="25"/>
        <v>#VALUE!</v>
      </c>
      <c r="AR139" s="15">
        <f t="shared" si="26"/>
        <v>0</v>
      </c>
      <c r="AS139" s="3">
        <f t="shared" si="27"/>
        <v>0</v>
      </c>
      <c r="AT139" s="3">
        <f t="shared" si="28"/>
        <v>0</v>
      </c>
      <c r="AU139" s="16" t="e">
        <f t="shared" si="29"/>
        <v>#VALUE!</v>
      </c>
      <c r="AW139" s="3">
        <f t="shared" si="35"/>
        <v>6750000</v>
      </c>
      <c r="AX139" s="3" t="e">
        <f t="shared" si="36"/>
        <v>#VALUE!</v>
      </c>
    </row>
    <row r="140" spans="1:50" ht="17" thickBot="1" x14ac:dyDescent="0.25">
      <c r="A140" s="5" t="s">
        <v>25</v>
      </c>
      <c r="B140" s="12" t="s">
        <v>26</v>
      </c>
      <c r="C140" s="12" t="s">
        <v>171</v>
      </c>
      <c r="D140" s="13" t="s">
        <v>35</v>
      </c>
      <c r="E140" s="14" t="s">
        <v>35</v>
      </c>
      <c r="F140" s="14" t="s">
        <v>35</v>
      </c>
      <c r="G140" s="14" t="s">
        <v>35</v>
      </c>
      <c r="H140" s="13">
        <v>5</v>
      </c>
      <c r="I140" s="14">
        <v>34147.708610000001</v>
      </c>
      <c r="J140" s="14">
        <v>83.78</v>
      </c>
      <c r="K140" s="14">
        <v>0.71</v>
      </c>
      <c r="L140" s="13" t="s">
        <v>35</v>
      </c>
      <c r="M140" s="14" t="s">
        <v>35</v>
      </c>
      <c r="N140" s="14" t="s">
        <v>35</v>
      </c>
      <c r="O140" s="14" t="s">
        <v>35</v>
      </c>
      <c r="P140" s="13">
        <v>14</v>
      </c>
      <c r="Q140" s="14">
        <v>95533.615999999995</v>
      </c>
      <c r="R140" s="14">
        <v>3843.96342</v>
      </c>
      <c r="S140" s="14">
        <v>2.13</v>
      </c>
      <c r="AA140" s="15" t="str">
        <f t="shared" si="37"/>
        <v>-</v>
      </c>
      <c r="AG140" s="16"/>
      <c r="AH140" s="15" t="str">
        <f t="shared" si="38"/>
        <v>-</v>
      </c>
      <c r="AI140" s="15"/>
      <c r="AJ140" s="3"/>
      <c r="AK140" s="15"/>
      <c r="AL140" s="3"/>
      <c r="AM140" s="3"/>
      <c r="AO140" s="15">
        <f t="shared" si="39"/>
        <v>-2.8000000000000007</v>
      </c>
      <c r="AP140" s="15">
        <f t="shared" si="30"/>
        <v>14.2</v>
      </c>
      <c r="AQ140" s="3" t="e">
        <f t="shared" si="25"/>
        <v>#VALUE!</v>
      </c>
      <c r="AR140" s="15" t="e">
        <f t="shared" si="26"/>
        <v>#VALUE!</v>
      </c>
      <c r="AS140" s="3" t="e">
        <f t="shared" si="27"/>
        <v>#VALUE!</v>
      </c>
      <c r="AT140" s="3" t="e">
        <f t="shared" si="28"/>
        <v>#VALUE!</v>
      </c>
      <c r="AU140" s="16" t="e">
        <f t="shared" si="29"/>
        <v>#VALUE!</v>
      </c>
      <c r="AW140" s="3">
        <f t="shared" si="35"/>
        <v>6800000</v>
      </c>
      <c r="AX140" s="3" t="e">
        <f t="shared" si="36"/>
        <v>#VALUE!</v>
      </c>
    </row>
    <row r="141" spans="1:50" ht="17" thickBot="1" x14ac:dyDescent="0.25">
      <c r="A141" s="5" t="s">
        <v>25</v>
      </c>
      <c r="B141" s="12" t="s">
        <v>26</v>
      </c>
      <c r="C141" s="12" t="s">
        <v>172</v>
      </c>
      <c r="D141" s="13" t="s">
        <v>35</v>
      </c>
      <c r="E141" s="14" t="s">
        <v>35</v>
      </c>
      <c r="F141" s="14" t="s">
        <v>35</v>
      </c>
      <c r="G141" s="14" t="s">
        <v>35</v>
      </c>
      <c r="H141" s="13">
        <v>5</v>
      </c>
      <c r="I141" s="14">
        <v>34344.001700000001</v>
      </c>
      <c r="J141" s="14">
        <v>64.06</v>
      </c>
      <c r="K141" s="14">
        <v>0</v>
      </c>
      <c r="L141" s="13" t="s">
        <v>35</v>
      </c>
      <c r="M141" s="14" t="s">
        <v>35</v>
      </c>
      <c r="N141" s="14" t="s">
        <v>35</v>
      </c>
      <c r="O141" s="14" t="s">
        <v>35</v>
      </c>
      <c r="P141" s="13">
        <v>16</v>
      </c>
      <c r="Q141" s="14">
        <v>109895.89432000001</v>
      </c>
      <c r="R141" s="14">
        <v>4358.53208</v>
      </c>
      <c r="S141" s="14">
        <v>0</v>
      </c>
      <c r="AA141" s="15" t="str">
        <f t="shared" si="37"/>
        <v>-</v>
      </c>
      <c r="AG141" s="16"/>
      <c r="AH141" s="15" t="str">
        <f t="shared" si="38"/>
        <v>-</v>
      </c>
      <c r="AI141" s="15"/>
      <c r="AJ141" s="3"/>
      <c r="AK141" s="15"/>
      <c r="AL141" s="3"/>
      <c r="AM141" s="3"/>
      <c r="AO141" s="15">
        <f t="shared" si="39"/>
        <v>-1.7999999999999989</v>
      </c>
      <c r="AP141" s="15">
        <f t="shared" si="30"/>
        <v>14.2</v>
      </c>
      <c r="AQ141" s="3" t="e">
        <f t="shared" si="25"/>
        <v>#VALUE!</v>
      </c>
      <c r="AR141" s="15" t="e">
        <f t="shared" si="26"/>
        <v>#VALUE!</v>
      </c>
      <c r="AS141" s="3" t="e">
        <f t="shared" si="27"/>
        <v>#VALUE!</v>
      </c>
      <c r="AT141" s="3" t="e">
        <f t="shared" si="28"/>
        <v>#VALUE!</v>
      </c>
      <c r="AU141" s="16" t="e">
        <f t="shared" si="29"/>
        <v>#VALUE!</v>
      </c>
      <c r="AW141" s="3">
        <f t="shared" si="35"/>
        <v>6850000</v>
      </c>
      <c r="AX141" s="3" t="e">
        <f t="shared" si="36"/>
        <v>#VALUE!</v>
      </c>
    </row>
    <row r="142" spans="1:50" ht="17" thickBot="1" x14ac:dyDescent="0.25">
      <c r="A142" s="5" t="s">
        <v>25</v>
      </c>
      <c r="B142" s="12" t="s">
        <v>26</v>
      </c>
      <c r="C142" s="12" t="s">
        <v>173</v>
      </c>
      <c r="D142" s="13" t="s">
        <v>35</v>
      </c>
      <c r="E142" s="14" t="s">
        <v>35</v>
      </c>
      <c r="F142" s="14" t="s">
        <v>35</v>
      </c>
      <c r="G142" s="14" t="s">
        <v>35</v>
      </c>
      <c r="H142" s="13">
        <v>5</v>
      </c>
      <c r="I142" s="14">
        <v>34625.123460000003</v>
      </c>
      <c r="J142" s="14">
        <v>77.527600000000007</v>
      </c>
      <c r="K142" s="14">
        <v>0.71</v>
      </c>
      <c r="L142" s="13" t="s">
        <v>35</v>
      </c>
      <c r="M142" s="14" t="s">
        <v>35</v>
      </c>
      <c r="N142" s="14" t="s">
        <v>35</v>
      </c>
      <c r="O142" s="14" t="s">
        <v>35</v>
      </c>
      <c r="P142" s="13">
        <v>17</v>
      </c>
      <c r="Q142" s="14">
        <v>117671.4264</v>
      </c>
      <c r="R142" s="14">
        <v>3546.93019</v>
      </c>
      <c r="S142" s="14">
        <v>0</v>
      </c>
      <c r="AA142" s="15" t="str">
        <f t="shared" si="37"/>
        <v>-</v>
      </c>
      <c r="AG142" s="16"/>
      <c r="AH142" s="15" t="str">
        <f t="shared" si="38"/>
        <v>-</v>
      </c>
      <c r="AI142" s="15"/>
      <c r="AJ142" s="3"/>
      <c r="AK142" s="15"/>
      <c r="AL142" s="3"/>
      <c r="AM142" s="3"/>
      <c r="AO142" s="15">
        <f t="shared" si="39"/>
        <v>-1.8000000000000007</v>
      </c>
      <c r="AP142" s="15">
        <f t="shared" si="30"/>
        <v>14.2</v>
      </c>
      <c r="AQ142" s="3" t="e">
        <f t="shared" si="25"/>
        <v>#VALUE!</v>
      </c>
      <c r="AR142" s="15" t="e">
        <f t="shared" si="26"/>
        <v>#VALUE!</v>
      </c>
      <c r="AS142" s="3" t="e">
        <f t="shared" si="27"/>
        <v>#VALUE!</v>
      </c>
      <c r="AT142" s="3" t="e">
        <f t="shared" si="28"/>
        <v>#VALUE!</v>
      </c>
      <c r="AU142" s="16" t="e">
        <f t="shared" si="29"/>
        <v>#VALUE!</v>
      </c>
      <c r="AW142" s="3">
        <f t="shared" si="35"/>
        <v>6900000</v>
      </c>
      <c r="AX142" s="3" t="e">
        <f t="shared" si="36"/>
        <v>#VALUE!</v>
      </c>
    </row>
    <row r="143" spans="1:50" ht="17" thickBot="1" x14ac:dyDescent="0.25">
      <c r="A143" s="5" t="s">
        <v>25</v>
      </c>
      <c r="B143" s="12" t="s">
        <v>26</v>
      </c>
      <c r="C143" s="12" t="s">
        <v>174</v>
      </c>
      <c r="D143" s="13" t="s">
        <v>35</v>
      </c>
      <c r="E143" s="14" t="s">
        <v>35</v>
      </c>
      <c r="F143" s="14" t="s">
        <v>35</v>
      </c>
      <c r="G143" s="14" t="s">
        <v>35</v>
      </c>
      <c r="H143" s="13">
        <v>3</v>
      </c>
      <c r="I143" s="14">
        <v>20959.912609999999</v>
      </c>
      <c r="J143" s="14">
        <v>34.08</v>
      </c>
      <c r="K143" s="14">
        <v>0</v>
      </c>
      <c r="L143" s="13" t="s">
        <v>35</v>
      </c>
      <c r="M143" s="14" t="s">
        <v>35</v>
      </c>
      <c r="N143" s="14" t="s">
        <v>35</v>
      </c>
      <c r="O143" s="14" t="s">
        <v>35</v>
      </c>
      <c r="P143" s="13">
        <v>18</v>
      </c>
      <c r="Q143" s="14">
        <v>125667.85952</v>
      </c>
      <c r="R143" s="14">
        <v>4858.6280699999998</v>
      </c>
      <c r="S143" s="14">
        <v>0</v>
      </c>
      <c r="AA143" s="15" t="str">
        <f t="shared" si="37"/>
        <v>-</v>
      </c>
      <c r="AG143" s="16"/>
      <c r="AH143" s="15" t="str">
        <f t="shared" si="38"/>
        <v>-</v>
      </c>
      <c r="AI143" s="15"/>
      <c r="AJ143" s="3"/>
      <c r="AK143" s="15"/>
      <c r="AL143" s="3"/>
      <c r="AM143" s="3"/>
      <c r="AO143" s="15">
        <f t="shared" si="39"/>
        <v>-0.79999999999999716</v>
      </c>
      <c r="AP143" s="15">
        <f t="shared" si="30"/>
        <v>14.2</v>
      </c>
      <c r="AQ143" s="3" t="e">
        <f t="shared" si="25"/>
        <v>#VALUE!</v>
      </c>
      <c r="AR143" s="15" t="e">
        <f t="shared" si="26"/>
        <v>#VALUE!</v>
      </c>
      <c r="AS143" s="3" t="e">
        <f t="shared" si="27"/>
        <v>#VALUE!</v>
      </c>
      <c r="AT143" s="3" t="e">
        <f t="shared" si="28"/>
        <v>#VALUE!</v>
      </c>
      <c r="AU143" s="16" t="e">
        <f t="shared" si="29"/>
        <v>#VALUE!</v>
      </c>
      <c r="AW143" s="3">
        <f t="shared" si="35"/>
        <v>6950000</v>
      </c>
      <c r="AX143" s="3" t="e">
        <f t="shared" si="36"/>
        <v>#VALUE!</v>
      </c>
    </row>
    <row r="144" spans="1:50" ht="17" thickBot="1" x14ac:dyDescent="0.25">
      <c r="A144" s="5" t="s">
        <v>25</v>
      </c>
      <c r="B144" s="12" t="s">
        <v>26</v>
      </c>
      <c r="C144" s="12" t="s">
        <v>175</v>
      </c>
      <c r="D144" s="13" t="s">
        <v>35</v>
      </c>
      <c r="E144" s="14" t="s">
        <v>35</v>
      </c>
      <c r="F144" s="14" t="s">
        <v>35</v>
      </c>
      <c r="G144" s="14" t="s">
        <v>35</v>
      </c>
      <c r="H144" s="13">
        <v>1</v>
      </c>
      <c r="I144" s="14">
        <v>7041.8729999999996</v>
      </c>
      <c r="J144" s="14">
        <v>19.48</v>
      </c>
      <c r="K144" s="14">
        <v>0</v>
      </c>
      <c r="L144" s="13" t="s">
        <v>35</v>
      </c>
      <c r="M144" s="14" t="s">
        <v>35</v>
      </c>
      <c r="N144" s="14" t="s">
        <v>35</v>
      </c>
      <c r="O144" s="14" t="s">
        <v>35</v>
      </c>
      <c r="P144" s="13">
        <v>13</v>
      </c>
      <c r="Q144" s="14">
        <v>91292.692970000004</v>
      </c>
      <c r="R144" s="14">
        <v>3797.7456000000002</v>
      </c>
      <c r="S144" s="14">
        <v>0</v>
      </c>
      <c r="AA144" s="15" t="str">
        <f t="shared" si="37"/>
        <v>-</v>
      </c>
      <c r="AG144" s="16"/>
      <c r="AH144" s="15" t="str">
        <f t="shared" si="38"/>
        <v>-</v>
      </c>
      <c r="AI144" s="15"/>
      <c r="AJ144" s="3"/>
      <c r="AK144" s="15"/>
      <c r="AL144" s="3"/>
      <c r="AM144" s="3"/>
      <c r="AO144" s="15">
        <f t="shared" si="39"/>
        <v>-1.2000000000000011</v>
      </c>
      <c r="AP144" s="15">
        <f t="shared" si="30"/>
        <v>14.2</v>
      </c>
      <c r="AQ144" s="3" t="e">
        <f t="shared" si="25"/>
        <v>#VALUE!</v>
      </c>
      <c r="AR144" s="15" t="e">
        <f t="shared" si="26"/>
        <v>#VALUE!</v>
      </c>
      <c r="AS144" s="3" t="e">
        <f t="shared" si="27"/>
        <v>#VALUE!</v>
      </c>
      <c r="AT144" s="3" t="e">
        <f t="shared" si="28"/>
        <v>#VALUE!</v>
      </c>
      <c r="AU144" s="16" t="e">
        <f t="shared" si="29"/>
        <v>#VALUE!</v>
      </c>
      <c r="AW144" s="3">
        <f t="shared" si="35"/>
        <v>7000000</v>
      </c>
      <c r="AX144" s="3" t="e">
        <f t="shared" si="36"/>
        <v>#VALUE!</v>
      </c>
    </row>
    <row r="145" spans="1:50" ht="17" thickBot="1" x14ac:dyDescent="0.25">
      <c r="A145" s="5" t="s">
        <v>25</v>
      </c>
      <c r="B145" s="12" t="s">
        <v>26</v>
      </c>
      <c r="C145" s="12" t="s">
        <v>176</v>
      </c>
      <c r="D145" s="13" t="s">
        <v>35</v>
      </c>
      <c r="E145" s="14" t="s">
        <v>35</v>
      </c>
      <c r="F145" s="14" t="s">
        <v>35</v>
      </c>
      <c r="G145" s="14" t="s">
        <v>35</v>
      </c>
      <c r="H145" s="13">
        <v>2</v>
      </c>
      <c r="I145" s="14">
        <v>14134.3923</v>
      </c>
      <c r="J145" s="14">
        <v>231.65594999999999</v>
      </c>
      <c r="K145" s="14">
        <v>0.71</v>
      </c>
      <c r="L145" s="13" t="s">
        <v>35</v>
      </c>
      <c r="M145" s="14" t="s">
        <v>35</v>
      </c>
      <c r="N145" s="14" t="s">
        <v>35</v>
      </c>
      <c r="O145" s="14" t="s">
        <v>35</v>
      </c>
      <c r="P145" s="13">
        <v>21</v>
      </c>
      <c r="Q145" s="14">
        <v>148484.41795</v>
      </c>
      <c r="R145" s="14">
        <v>5733.0389800000003</v>
      </c>
      <c r="S145" s="14">
        <v>0</v>
      </c>
      <c r="AA145" s="15" t="str">
        <f t="shared" si="37"/>
        <v>-</v>
      </c>
      <c r="AG145" s="16"/>
      <c r="AH145" s="15" t="str">
        <f t="shared" si="38"/>
        <v>-</v>
      </c>
      <c r="AI145" s="15"/>
      <c r="AJ145" s="3"/>
      <c r="AK145" s="15"/>
      <c r="AL145" s="3"/>
      <c r="AM145" s="3"/>
      <c r="AO145" s="15">
        <f t="shared" si="39"/>
        <v>0</v>
      </c>
      <c r="AP145" s="15">
        <f t="shared" si="30"/>
        <v>14.2</v>
      </c>
      <c r="AQ145" s="3" t="e">
        <f t="shared" si="25"/>
        <v>#VALUE!</v>
      </c>
      <c r="AR145" s="15">
        <f t="shared" si="26"/>
        <v>0</v>
      </c>
      <c r="AS145" s="3">
        <f t="shared" si="27"/>
        <v>0</v>
      </c>
      <c r="AT145" s="3">
        <f t="shared" si="28"/>
        <v>0</v>
      </c>
      <c r="AU145" s="16" t="e">
        <f t="shared" si="29"/>
        <v>#VALUE!</v>
      </c>
      <c r="AW145" s="3">
        <f t="shared" si="35"/>
        <v>7050000</v>
      </c>
      <c r="AX145" s="3" t="e">
        <f t="shared" si="36"/>
        <v>#VALUE!</v>
      </c>
    </row>
    <row r="146" spans="1:50" ht="17" thickBot="1" x14ac:dyDescent="0.25">
      <c r="A146" s="5" t="s">
        <v>25</v>
      </c>
      <c r="B146" s="12" t="s">
        <v>26</v>
      </c>
      <c r="C146" s="12" t="s">
        <v>177</v>
      </c>
      <c r="D146" s="13" t="s">
        <v>35</v>
      </c>
      <c r="E146" s="14" t="s">
        <v>35</v>
      </c>
      <c r="F146" s="14" t="s">
        <v>35</v>
      </c>
      <c r="G146" s="14" t="s">
        <v>35</v>
      </c>
      <c r="H146" s="13">
        <v>1</v>
      </c>
      <c r="I146" s="14">
        <v>7133.6666599999999</v>
      </c>
      <c r="J146" s="14">
        <v>202.26</v>
      </c>
      <c r="K146" s="14">
        <v>0</v>
      </c>
      <c r="L146" s="13" t="s">
        <v>35</v>
      </c>
      <c r="M146" s="14" t="s">
        <v>35</v>
      </c>
      <c r="N146" s="14" t="s">
        <v>35</v>
      </c>
      <c r="O146" s="14" t="s">
        <v>35</v>
      </c>
      <c r="P146" s="13">
        <v>17</v>
      </c>
      <c r="Q146" s="14">
        <v>121173.61865999999</v>
      </c>
      <c r="R146" s="14">
        <v>5320.7334499999997</v>
      </c>
      <c r="S146" s="14">
        <v>0</v>
      </c>
      <c r="AA146" s="15" t="str">
        <f t="shared" si="37"/>
        <v>-</v>
      </c>
      <c r="AG146" s="16"/>
      <c r="AH146" s="15" t="str">
        <f t="shared" si="38"/>
        <v>-</v>
      </c>
      <c r="AI146" s="15"/>
      <c r="AJ146" s="3"/>
      <c r="AK146" s="15"/>
      <c r="AL146" s="3"/>
      <c r="AM146" s="3"/>
      <c r="AO146" s="15">
        <f t="shared" si="39"/>
        <v>0.80000000000000071</v>
      </c>
      <c r="AP146" s="15">
        <f t="shared" si="30"/>
        <v>14.2</v>
      </c>
      <c r="AQ146" s="3" t="e">
        <f t="shared" si="25"/>
        <v>#VALUE!</v>
      </c>
      <c r="AR146" s="15">
        <f t="shared" si="26"/>
        <v>0</v>
      </c>
      <c r="AS146" s="3">
        <f t="shared" si="27"/>
        <v>0</v>
      </c>
      <c r="AT146" s="3">
        <f t="shared" si="28"/>
        <v>0</v>
      </c>
      <c r="AU146" s="16" t="e">
        <f t="shared" si="29"/>
        <v>#VALUE!</v>
      </c>
      <c r="AW146" s="3">
        <f t="shared" si="35"/>
        <v>7100000</v>
      </c>
      <c r="AX146" s="3" t="e">
        <f t="shared" si="36"/>
        <v>#VALUE!</v>
      </c>
    </row>
    <row r="147" spans="1:50" ht="17" thickBot="1" x14ac:dyDescent="0.25">
      <c r="A147" s="5" t="s">
        <v>25</v>
      </c>
      <c r="B147" s="12" t="s">
        <v>26</v>
      </c>
      <c r="C147" s="12" t="s">
        <v>178</v>
      </c>
      <c r="D147" s="13" t="s">
        <v>35</v>
      </c>
      <c r="E147" s="14" t="s">
        <v>35</v>
      </c>
      <c r="F147" s="14" t="s">
        <v>35</v>
      </c>
      <c r="G147" s="14" t="s">
        <v>35</v>
      </c>
      <c r="H147" s="13">
        <v>1</v>
      </c>
      <c r="I147" s="14">
        <v>7194.8507499999996</v>
      </c>
      <c r="J147" s="14">
        <v>195.27761000000001</v>
      </c>
      <c r="K147" s="14">
        <v>0</v>
      </c>
      <c r="L147" s="13" t="s">
        <v>35</v>
      </c>
      <c r="M147" s="14" t="s">
        <v>35</v>
      </c>
      <c r="N147" s="14" t="s">
        <v>35</v>
      </c>
      <c r="O147" s="14" t="s">
        <v>35</v>
      </c>
      <c r="P147" s="13">
        <v>22</v>
      </c>
      <c r="Q147" s="14">
        <v>157904.03301000001</v>
      </c>
      <c r="R147" s="14">
        <v>5290.2195700000002</v>
      </c>
      <c r="S147" s="14">
        <v>0</v>
      </c>
      <c r="AA147" s="15" t="str">
        <f t="shared" si="37"/>
        <v>-</v>
      </c>
      <c r="AG147" s="16"/>
      <c r="AH147" s="15" t="str">
        <f t="shared" si="38"/>
        <v>-</v>
      </c>
      <c r="AI147" s="15"/>
      <c r="AJ147" s="3"/>
      <c r="AK147" s="15"/>
      <c r="AL147" s="3"/>
      <c r="AM147" s="3"/>
      <c r="AO147" s="15">
        <f t="shared" si="39"/>
        <v>2</v>
      </c>
      <c r="AP147" s="15">
        <f t="shared" si="30"/>
        <v>14.2</v>
      </c>
      <c r="AQ147" s="3" t="e">
        <f t="shared" si="25"/>
        <v>#VALUE!</v>
      </c>
      <c r="AR147" s="15">
        <f t="shared" si="26"/>
        <v>0</v>
      </c>
      <c r="AS147" s="3">
        <f t="shared" si="27"/>
        <v>0</v>
      </c>
      <c r="AT147" s="3">
        <f t="shared" si="28"/>
        <v>0</v>
      </c>
      <c r="AU147" s="16" t="e">
        <f t="shared" si="29"/>
        <v>#VALUE!</v>
      </c>
      <c r="AW147" s="3">
        <f t="shared" si="35"/>
        <v>7150000</v>
      </c>
      <c r="AX147" s="3" t="e">
        <f t="shared" si="36"/>
        <v>#VALUE!</v>
      </c>
    </row>
    <row r="148" spans="1:50" ht="17" thickBot="1" x14ac:dyDescent="0.25">
      <c r="A148" s="5" t="s">
        <v>25</v>
      </c>
      <c r="B148" s="12" t="s">
        <v>26</v>
      </c>
      <c r="C148" s="12" t="s">
        <v>179</v>
      </c>
      <c r="D148" s="13" t="s">
        <v>35</v>
      </c>
      <c r="E148" s="14" t="s">
        <v>35</v>
      </c>
      <c r="F148" s="14" t="s">
        <v>35</v>
      </c>
      <c r="G148" s="14" t="s">
        <v>35</v>
      </c>
      <c r="H148" s="13" t="s">
        <v>35</v>
      </c>
      <c r="I148" s="14" t="s">
        <v>35</v>
      </c>
      <c r="J148" s="14" t="s">
        <v>35</v>
      </c>
      <c r="K148" s="14" t="s">
        <v>35</v>
      </c>
      <c r="L148" s="13" t="s">
        <v>35</v>
      </c>
      <c r="M148" s="14" t="s">
        <v>35</v>
      </c>
      <c r="N148" s="14" t="s">
        <v>35</v>
      </c>
      <c r="O148" s="14" t="s">
        <v>35</v>
      </c>
      <c r="P148" s="13">
        <v>14</v>
      </c>
      <c r="Q148" s="14">
        <v>101125.97803</v>
      </c>
      <c r="R148" s="14">
        <v>4510.27718</v>
      </c>
      <c r="S148" s="14">
        <v>0</v>
      </c>
      <c r="AA148" s="15" t="str">
        <f t="shared" si="37"/>
        <v>-</v>
      </c>
      <c r="AG148" s="16"/>
      <c r="AH148" s="15" t="str">
        <f t="shared" si="38"/>
        <v>-</v>
      </c>
      <c r="AI148" s="15"/>
      <c r="AJ148" s="3"/>
      <c r="AK148" s="15"/>
      <c r="AL148" s="3"/>
      <c r="AM148" s="3"/>
      <c r="AN148" s="16"/>
      <c r="AO148" s="15">
        <f t="shared" si="39"/>
        <v>-1</v>
      </c>
      <c r="AP148" s="15">
        <f t="shared" si="30"/>
        <v>14.2</v>
      </c>
      <c r="AQ148" s="3" t="e">
        <f t="shared" si="25"/>
        <v>#VALUE!</v>
      </c>
      <c r="AR148" s="15" t="e">
        <f t="shared" si="26"/>
        <v>#VALUE!</v>
      </c>
      <c r="AS148" s="3" t="e">
        <f t="shared" si="27"/>
        <v>#VALUE!</v>
      </c>
      <c r="AT148" s="3" t="e">
        <f t="shared" si="28"/>
        <v>#VALUE!</v>
      </c>
      <c r="AU148" s="16" t="e">
        <f t="shared" si="29"/>
        <v>#VALUE!</v>
      </c>
      <c r="AW148" s="3">
        <f t="shared" si="35"/>
        <v>7200000</v>
      </c>
      <c r="AX148" s="3" t="e">
        <f t="shared" si="36"/>
        <v>#VALUE!</v>
      </c>
    </row>
    <row r="149" spans="1:50" ht="17" thickBot="1" x14ac:dyDescent="0.25">
      <c r="A149" s="5" t="s">
        <v>25</v>
      </c>
      <c r="B149" s="12" t="s">
        <v>26</v>
      </c>
      <c r="C149" s="12" t="s">
        <v>180</v>
      </c>
      <c r="D149" s="13" t="s">
        <v>35</v>
      </c>
      <c r="E149" s="14" t="s">
        <v>35</v>
      </c>
      <c r="F149" s="14" t="s">
        <v>35</v>
      </c>
      <c r="G149" s="14" t="s">
        <v>35</v>
      </c>
      <c r="H149" s="13">
        <v>2</v>
      </c>
      <c r="I149" s="14">
        <v>14584.52016</v>
      </c>
      <c r="J149" s="14">
        <v>15.62</v>
      </c>
      <c r="K149" s="14">
        <v>0</v>
      </c>
      <c r="L149" s="13" t="s">
        <v>35</v>
      </c>
      <c r="M149" s="14" t="s">
        <v>35</v>
      </c>
      <c r="N149" s="14" t="s">
        <v>35</v>
      </c>
      <c r="O149" s="14" t="s">
        <v>35</v>
      </c>
      <c r="P149" s="13">
        <v>10</v>
      </c>
      <c r="Q149" s="14">
        <v>72774.852140000003</v>
      </c>
      <c r="R149" s="14">
        <v>3381.1742100000001</v>
      </c>
      <c r="S149" s="14">
        <v>0</v>
      </c>
      <c r="AA149" s="15" t="str">
        <f t="shared" si="37"/>
        <v>-</v>
      </c>
      <c r="AG149" s="16"/>
      <c r="AH149" s="15" t="str">
        <f t="shared" si="38"/>
        <v>-</v>
      </c>
      <c r="AI149" s="15"/>
      <c r="AJ149" s="3"/>
      <c r="AK149" s="15"/>
      <c r="AL149" s="3"/>
      <c r="AM149" s="3"/>
      <c r="AN149" s="16"/>
      <c r="AO149" s="15">
        <f t="shared" si="39"/>
        <v>-5.5999999999999979</v>
      </c>
      <c r="AP149" s="15">
        <f t="shared" si="30"/>
        <v>14.2</v>
      </c>
      <c r="AQ149" s="3" t="e">
        <f t="shared" si="25"/>
        <v>#VALUE!</v>
      </c>
      <c r="AR149" s="15" t="e">
        <f t="shared" si="26"/>
        <v>#VALUE!</v>
      </c>
      <c r="AS149" s="3" t="e">
        <f t="shared" si="27"/>
        <v>#VALUE!</v>
      </c>
      <c r="AT149" s="3" t="e">
        <f t="shared" si="28"/>
        <v>#VALUE!</v>
      </c>
      <c r="AU149" s="16" t="e">
        <f t="shared" si="29"/>
        <v>#VALUE!</v>
      </c>
      <c r="AW149" s="3">
        <f t="shared" si="35"/>
        <v>7250000</v>
      </c>
      <c r="AX149" s="3" t="e">
        <f t="shared" si="36"/>
        <v>#VALUE!</v>
      </c>
    </row>
    <row r="150" spans="1:50" ht="17" thickBot="1" x14ac:dyDescent="0.25">
      <c r="A150" s="5" t="s">
        <v>25</v>
      </c>
      <c r="B150" s="12" t="s">
        <v>26</v>
      </c>
      <c r="C150" s="12" t="s">
        <v>181</v>
      </c>
      <c r="D150" s="13" t="s">
        <v>35</v>
      </c>
      <c r="E150" s="14" t="s">
        <v>35</v>
      </c>
      <c r="F150" s="14" t="s">
        <v>35</v>
      </c>
      <c r="G150" s="14" t="s">
        <v>35</v>
      </c>
      <c r="H150" s="13">
        <v>2</v>
      </c>
      <c r="I150" s="14">
        <v>14676.317300000001</v>
      </c>
      <c r="J150" s="14">
        <v>50.423999999999999</v>
      </c>
      <c r="K150" s="14">
        <v>0</v>
      </c>
      <c r="L150" s="13" t="s">
        <v>35</v>
      </c>
      <c r="M150" s="14" t="s">
        <v>35</v>
      </c>
      <c r="N150" s="14" t="s">
        <v>35</v>
      </c>
      <c r="O150" s="14" t="s">
        <v>35</v>
      </c>
      <c r="P150" s="13">
        <v>22</v>
      </c>
      <c r="Q150" s="14">
        <v>161027.81448999999</v>
      </c>
      <c r="R150" s="14">
        <v>7656.7593399999996</v>
      </c>
      <c r="S150" s="14">
        <v>0</v>
      </c>
      <c r="AA150" s="15" t="str">
        <f t="shared" si="37"/>
        <v>-</v>
      </c>
      <c r="AG150" s="16"/>
      <c r="AH150" s="15" t="str">
        <f t="shared" si="38"/>
        <v>-</v>
      </c>
      <c r="AI150" s="15"/>
      <c r="AJ150" s="3"/>
      <c r="AK150" s="15"/>
      <c r="AL150" s="3"/>
      <c r="AM150" s="3"/>
      <c r="AN150" s="16"/>
      <c r="AO150" s="15">
        <f t="shared" si="39"/>
        <v>-4.6000000000000014</v>
      </c>
      <c r="AP150" s="15">
        <f t="shared" si="30"/>
        <v>14.2</v>
      </c>
      <c r="AQ150" s="3" t="e">
        <f t="shared" si="25"/>
        <v>#VALUE!</v>
      </c>
      <c r="AR150" s="15" t="e">
        <f t="shared" si="26"/>
        <v>#VALUE!</v>
      </c>
      <c r="AS150" s="3" t="e">
        <f t="shared" si="27"/>
        <v>#VALUE!</v>
      </c>
      <c r="AT150" s="3" t="e">
        <f t="shared" si="28"/>
        <v>#VALUE!</v>
      </c>
      <c r="AU150" s="16" t="e">
        <f t="shared" si="29"/>
        <v>#VALUE!</v>
      </c>
      <c r="AW150" s="3">
        <f t="shared" si="35"/>
        <v>7300000</v>
      </c>
      <c r="AX150" s="3" t="e">
        <f t="shared" si="36"/>
        <v>#VALUE!</v>
      </c>
    </row>
    <row r="151" spans="1:50" ht="17" thickBot="1" x14ac:dyDescent="0.25">
      <c r="A151" s="5" t="s">
        <v>25</v>
      </c>
      <c r="B151" s="12" t="s">
        <v>26</v>
      </c>
      <c r="C151" s="12" t="s">
        <v>182</v>
      </c>
      <c r="D151" s="13" t="s">
        <v>35</v>
      </c>
      <c r="E151" s="14" t="s">
        <v>35</v>
      </c>
      <c r="F151" s="14" t="s">
        <v>35</v>
      </c>
      <c r="G151" s="14" t="s">
        <v>35</v>
      </c>
      <c r="H151" s="13">
        <v>2</v>
      </c>
      <c r="I151" s="14">
        <v>14754.123890000001</v>
      </c>
      <c r="J151" s="14">
        <v>35.5</v>
      </c>
      <c r="K151" s="14">
        <v>0</v>
      </c>
      <c r="L151" s="13" t="s">
        <v>35</v>
      </c>
      <c r="M151" s="14" t="s">
        <v>35</v>
      </c>
      <c r="N151" s="14" t="s">
        <v>35</v>
      </c>
      <c r="O151" s="14" t="s">
        <v>35</v>
      </c>
      <c r="P151" s="13">
        <v>14</v>
      </c>
      <c r="Q151" s="14">
        <v>103293.5739</v>
      </c>
      <c r="R151" s="14">
        <v>4970.0932000000003</v>
      </c>
      <c r="S151" s="14">
        <v>0</v>
      </c>
      <c r="AA151" s="15" t="str">
        <f t="shared" si="37"/>
        <v>-</v>
      </c>
      <c r="AG151" s="16"/>
      <c r="AH151" s="15" t="str">
        <f t="shared" si="38"/>
        <v>-</v>
      </c>
      <c r="AI151" s="15"/>
      <c r="AJ151" s="3"/>
      <c r="AK151" s="15"/>
      <c r="AL151" s="3"/>
      <c r="AM151" s="3"/>
      <c r="AN151" s="16"/>
      <c r="AO151" s="15">
        <f t="shared" si="39"/>
        <v>-5.4000000000000021</v>
      </c>
      <c r="AP151" s="15">
        <f t="shared" si="30"/>
        <v>14.2</v>
      </c>
      <c r="AQ151" s="3" t="e">
        <f t="shared" si="25"/>
        <v>#VALUE!</v>
      </c>
      <c r="AR151" s="15" t="e">
        <f t="shared" si="26"/>
        <v>#VALUE!</v>
      </c>
      <c r="AS151" s="3" t="e">
        <f t="shared" si="27"/>
        <v>#VALUE!</v>
      </c>
      <c r="AT151" s="3" t="e">
        <f t="shared" si="28"/>
        <v>#VALUE!</v>
      </c>
      <c r="AU151" s="16" t="e">
        <f t="shared" si="29"/>
        <v>#VALUE!</v>
      </c>
      <c r="AW151" s="3">
        <f t="shared" si="35"/>
        <v>7350000</v>
      </c>
      <c r="AX151" s="3" t="e">
        <f t="shared" si="36"/>
        <v>#VALUE!</v>
      </c>
    </row>
    <row r="152" spans="1:50" ht="17" thickBot="1" x14ac:dyDescent="0.25">
      <c r="A152" s="5" t="s">
        <v>25</v>
      </c>
      <c r="B152" s="12" t="s">
        <v>26</v>
      </c>
      <c r="C152" s="12" t="s">
        <v>183</v>
      </c>
      <c r="D152" s="13" t="s">
        <v>35</v>
      </c>
      <c r="E152" s="14" t="s">
        <v>35</v>
      </c>
      <c r="F152" s="14" t="s">
        <v>35</v>
      </c>
      <c r="G152" s="14" t="s">
        <v>35</v>
      </c>
      <c r="H152" s="13" t="s">
        <v>35</v>
      </c>
      <c r="I152" s="14" t="s">
        <v>35</v>
      </c>
      <c r="J152" s="14" t="s">
        <v>35</v>
      </c>
      <c r="K152" s="14" t="s">
        <v>35</v>
      </c>
      <c r="L152" s="13" t="s">
        <v>35</v>
      </c>
      <c r="M152" s="14" t="s">
        <v>35</v>
      </c>
      <c r="N152" s="14" t="s">
        <v>35</v>
      </c>
      <c r="O152" s="14" t="s">
        <v>35</v>
      </c>
      <c r="P152" s="13">
        <v>21</v>
      </c>
      <c r="Q152" s="14">
        <v>155850.71629000001</v>
      </c>
      <c r="R152" s="14">
        <v>7169.6086699999996</v>
      </c>
      <c r="S152" s="14">
        <v>0</v>
      </c>
      <c r="AA152" s="15" t="str">
        <f t="shared" si="37"/>
        <v>-</v>
      </c>
      <c r="AG152" s="16"/>
      <c r="AH152" s="15" t="str">
        <f t="shared" si="38"/>
        <v>-</v>
      </c>
      <c r="AI152" s="15"/>
      <c r="AJ152" s="3"/>
      <c r="AK152" s="15"/>
      <c r="AL152" s="3"/>
      <c r="AM152" s="3"/>
      <c r="AN152" s="16"/>
      <c r="AO152" s="15">
        <f t="shared" si="39"/>
        <v>-8.6000000000000014</v>
      </c>
      <c r="AP152" s="15">
        <f t="shared" si="30"/>
        <v>14.2</v>
      </c>
      <c r="AQ152" s="3" t="e">
        <f t="shared" si="25"/>
        <v>#VALUE!</v>
      </c>
      <c r="AR152" s="15" t="e">
        <f>IF(AO152&lt;-0.4,AP152*AQ152,0)</f>
        <v>#VALUE!</v>
      </c>
      <c r="AS152" s="3" t="e">
        <f t="shared" si="27"/>
        <v>#VALUE!</v>
      </c>
      <c r="AT152" s="3" t="e">
        <f t="shared" si="28"/>
        <v>#VALUE!</v>
      </c>
      <c r="AU152" s="16" t="e">
        <f t="shared" si="29"/>
        <v>#VALUE!</v>
      </c>
      <c r="AW152" s="3">
        <f t="shared" si="35"/>
        <v>7400000</v>
      </c>
      <c r="AX152" s="3" t="e">
        <f t="shared" si="36"/>
        <v>#VALUE!</v>
      </c>
    </row>
    <row r="153" spans="1:50" ht="17" thickBot="1" x14ac:dyDescent="0.25">
      <c r="A153" s="5" t="s">
        <v>25</v>
      </c>
      <c r="B153" s="12" t="s">
        <v>26</v>
      </c>
      <c r="C153" s="12" t="s">
        <v>184</v>
      </c>
      <c r="D153" s="13" t="s">
        <v>35</v>
      </c>
      <c r="E153" s="14" t="s">
        <v>35</v>
      </c>
      <c r="F153" s="14" t="s">
        <v>35</v>
      </c>
      <c r="G153" s="14" t="s">
        <v>35</v>
      </c>
      <c r="H153" s="13" t="s">
        <v>35</v>
      </c>
      <c r="I153" s="14" t="s">
        <v>35</v>
      </c>
      <c r="J153" s="14" t="s">
        <v>35</v>
      </c>
      <c r="K153" s="14" t="s">
        <v>35</v>
      </c>
      <c r="L153" s="13" t="s">
        <v>35</v>
      </c>
      <c r="M153" s="14" t="s">
        <v>35</v>
      </c>
      <c r="N153" s="14" t="s">
        <v>35</v>
      </c>
      <c r="O153" s="14" t="s">
        <v>35</v>
      </c>
      <c r="P153" s="13">
        <v>25</v>
      </c>
      <c r="Q153" s="14">
        <v>186807.11212999999</v>
      </c>
      <c r="R153" s="14">
        <v>6899.9681300000002</v>
      </c>
      <c r="S153" s="14">
        <v>0</v>
      </c>
      <c r="AA153" s="15" t="str">
        <f t="shared" si="37"/>
        <v>-</v>
      </c>
      <c r="AG153" s="16"/>
      <c r="AH153" s="15" t="str">
        <f t="shared" si="38"/>
        <v>-</v>
      </c>
      <c r="AI153" s="15"/>
      <c r="AJ153" s="3"/>
      <c r="AK153" s="15"/>
      <c r="AL153" s="3"/>
      <c r="AM153" s="3"/>
      <c r="AN153" s="16"/>
      <c r="AO153" s="15">
        <f t="shared" si="39"/>
        <v>-8.2000000000000028</v>
      </c>
      <c r="AP153" s="15">
        <f t="shared" si="30"/>
        <v>14.2</v>
      </c>
      <c r="AQ153" s="3" t="e">
        <f t="shared" si="25"/>
        <v>#VALUE!</v>
      </c>
      <c r="AR153" s="15" t="e">
        <f t="shared" ref="AR153:AR184" si="40">IF(AO153&lt;-0.4,AP153*AQ153,0)</f>
        <v>#VALUE!</v>
      </c>
      <c r="AS153" s="3" t="e">
        <f t="shared" si="27"/>
        <v>#VALUE!</v>
      </c>
      <c r="AT153" s="3" t="e">
        <f t="shared" si="28"/>
        <v>#VALUE!</v>
      </c>
      <c r="AU153" s="16" t="e">
        <f t="shared" si="29"/>
        <v>#VALUE!</v>
      </c>
      <c r="AW153" s="3">
        <f t="shared" si="35"/>
        <v>7450000</v>
      </c>
      <c r="AX153" s="3" t="e">
        <f t="shared" si="36"/>
        <v>#VALUE!</v>
      </c>
    </row>
    <row r="154" spans="1:50" ht="17" thickBot="1" x14ac:dyDescent="0.25">
      <c r="A154" s="5" t="s">
        <v>25</v>
      </c>
      <c r="B154" s="12" t="s">
        <v>26</v>
      </c>
      <c r="C154" s="12" t="s">
        <v>185</v>
      </c>
      <c r="D154" s="13" t="s">
        <v>35</v>
      </c>
      <c r="E154" s="14" t="s">
        <v>35</v>
      </c>
      <c r="F154" s="14" t="s">
        <v>35</v>
      </c>
      <c r="G154" s="14" t="s">
        <v>35</v>
      </c>
      <c r="H154" s="13" t="s">
        <v>35</v>
      </c>
      <c r="I154" s="14" t="s">
        <v>35</v>
      </c>
      <c r="J154" s="14" t="s">
        <v>35</v>
      </c>
      <c r="K154" s="14" t="s">
        <v>35</v>
      </c>
      <c r="L154" s="13" t="s">
        <v>35</v>
      </c>
      <c r="M154" s="14" t="s">
        <v>35</v>
      </c>
      <c r="N154" s="14" t="s">
        <v>35</v>
      </c>
      <c r="O154" s="14" t="s">
        <v>35</v>
      </c>
      <c r="P154" s="13">
        <v>30</v>
      </c>
      <c r="Q154" s="14">
        <v>225606.93698</v>
      </c>
      <c r="R154" s="14">
        <v>10497.88162</v>
      </c>
      <c r="S154" s="14">
        <v>0</v>
      </c>
      <c r="AA154" s="15" t="str">
        <f t="shared" si="37"/>
        <v>-</v>
      </c>
      <c r="AG154" s="16"/>
      <c r="AH154" s="15" t="str">
        <f t="shared" si="38"/>
        <v>-</v>
      </c>
      <c r="AI154" s="15"/>
      <c r="AJ154" s="3"/>
      <c r="AK154" s="15"/>
      <c r="AL154" s="3"/>
      <c r="AM154" s="3"/>
      <c r="AN154" s="16"/>
      <c r="AO154" s="15">
        <f t="shared" si="39"/>
        <v>-5.8000000000000007</v>
      </c>
      <c r="AP154" s="15">
        <f t="shared" si="30"/>
        <v>14.2</v>
      </c>
      <c r="AQ154" s="3" t="e">
        <f t="shared" si="25"/>
        <v>#VALUE!</v>
      </c>
      <c r="AR154" s="15" t="e">
        <f t="shared" si="40"/>
        <v>#VALUE!</v>
      </c>
      <c r="AS154" s="3" t="e">
        <f t="shared" si="27"/>
        <v>#VALUE!</v>
      </c>
      <c r="AT154" s="3" t="e">
        <f t="shared" si="28"/>
        <v>#VALUE!</v>
      </c>
      <c r="AU154" s="16" t="e">
        <f t="shared" si="29"/>
        <v>#VALUE!</v>
      </c>
      <c r="AW154" s="3">
        <f t="shared" si="35"/>
        <v>7500000</v>
      </c>
      <c r="AX154" s="3" t="e">
        <f t="shared" si="36"/>
        <v>#VALUE!</v>
      </c>
    </row>
    <row r="155" spans="1:50" ht="17" thickBot="1" x14ac:dyDescent="0.25">
      <c r="A155" s="5" t="s">
        <v>25</v>
      </c>
      <c r="B155" s="12" t="s">
        <v>26</v>
      </c>
      <c r="C155" s="12" t="s">
        <v>186</v>
      </c>
      <c r="D155" s="13" t="s">
        <v>35</v>
      </c>
      <c r="E155" s="14" t="s">
        <v>35</v>
      </c>
      <c r="F155" s="14" t="s">
        <v>35</v>
      </c>
      <c r="G155" s="14" t="s">
        <v>35</v>
      </c>
      <c r="H155" s="13" t="s">
        <v>35</v>
      </c>
      <c r="I155" s="14" t="s">
        <v>35</v>
      </c>
      <c r="J155" s="14" t="s">
        <v>35</v>
      </c>
      <c r="K155" s="14" t="s">
        <v>35</v>
      </c>
      <c r="L155" s="13" t="s">
        <v>35</v>
      </c>
      <c r="M155" s="14" t="s">
        <v>35</v>
      </c>
      <c r="N155" s="14" t="s">
        <v>35</v>
      </c>
      <c r="O155" s="14" t="s">
        <v>35</v>
      </c>
      <c r="P155" s="13">
        <v>18</v>
      </c>
      <c r="Q155" s="14">
        <v>136394.70353</v>
      </c>
      <c r="R155" s="14">
        <v>6856.3544000000002</v>
      </c>
      <c r="S155" s="14">
        <v>0</v>
      </c>
      <c r="AA155" s="15" t="str">
        <f t="shared" si="37"/>
        <v>-</v>
      </c>
      <c r="AG155" s="16"/>
      <c r="AH155" s="15" t="str">
        <f t="shared" si="38"/>
        <v>-</v>
      </c>
      <c r="AI155" s="15"/>
      <c r="AJ155" s="3"/>
      <c r="AK155" s="15"/>
      <c r="AL155" s="3"/>
      <c r="AM155" s="3"/>
      <c r="AN155" s="16"/>
      <c r="AO155" s="15">
        <f t="shared" si="39"/>
        <v>-11.799999999999997</v>
      </c>
      <c r="AP155" s="15">
        <f t="shared" si="30"/>
        <v>14.2</v>
      </c>
      <c r="AQ155" s="3" t="e">
        <f t="shared" si="25"/>
        <v>#VALUE!</v>
      </c>
      <c r="AR155" s="15" t="e">
        <f t="shared" si="40"/>
        <v>#VALUE!</v>
      </c>
      <c r="AS155" s="3" t="e">
        <f t="shared" si="27"/>
        <v>#VALUE!</v>
      </c>
      <c r="AT155" s="3" t="e">
        <f t="shared" si="28"/>
        <v>#VALUE!</v>
      </c>
      <c r="AU155" s="16" t="e">
        <f t="shared" si="29"/>
        <v>#VALUE!</v>
      </c>
      <c r="AW155" s="3">
        <f t="shared" si="35"/>
        <v>7550000</v>
      </c>
      <c r="AX155" s="3" t="e">
        <f t="shared" si="36"/>
        <v>#VALUE!</v>
      </c>
    </row>
    <row r="156" spans="1:50" ht="17" thickBot="1" x14ac:dyDescent="0.25">
      <c r="A156" s="5" t="s">
        <v>25</v>
      </c>
      <c r="B156" s="12" t="s">
        <v>26</v>
      </c>
      <c r="C156" s="12" t="s">
        <v>187</v>
      </c>
      <c r="D156" s="13" t="s">
        <v>35</v>
      </c>
      <c r="E156" s="14" t="s">
        <v>35</v>
      </c>
      <c r="F156" s="14" t="s">
        <v>35</v>
      </c>
      <c r="G156" s="14" t="s">
        <v>35</v>
      </c>
      <c r="H156" s="13" t="s">
        <v>35</v>
      </c>
      <c r="I156" s="14" t="s">
        <v>35</v>
      </c>
      <c r="J156" s="14" t="s">
        <v>35</v>
      </c>
      <c r="K156" s="14" t="s">
        <v>35</v>
      </c>
      <c r="L156" s="13" t="s">
        <v>35</v>
      </c>
      <c r="M156" s="14" t="s">
        <v>35</v>
      </c>
      <c r="N156" s="14" t="s">
        <v>35</v>
      </c>
      <c r="O156" s="14" t="s">
        <v>35</v>
      </c>
      <c r="P156" s="13">
        <v>15</v>
      </c>
      <c r="Q156" s="14">
        <v>114387.28715</v>
      </c>
      <c r="R156" s="14">
        <v>5925.4958500000002</v>
      </c>
      <c r="S156" s="14">
        <v>0</v>
      </c>
      <c r="AA156" s="15" t="str">
        <f t="shared" si="37"/>
        <v>-</v>
      </c>
      <c r="AG156" s="16"/>
      <c r="AH156" s="15" t="str">
        <f t="shared" si="38"/>
        <v>-</v>
      </c>
      <c r="AI156" s="15"/>
      <c r="AJ156" s="3"/>
      <c r="AK156" s="15"/>
      <c r="AL156" s="3"/>
      <c r="AM156" s="3"/>
      <c r="AN156" s="16"/>
      <c r="AO156" s="15">
        <f t="shared" si="39"/>
        <v>-15.400000000000002</v>
      </c>
      <c r="AP156" s="15">
        <f t="shared" si="30"/>
        <v>14.2</v>
      </c>
      <c r="AQ156" s="3" t="e">
        <f t="shared" si="25"/>
        <v>#VALUE!</v>
      </c>
      <c r="AR156" s="15" t="e">
        <f t="shared" si="40"/>
        <v>#VALUE!</v>
      </c>
      <c r="AS156" s="3" t="e">
        <f t="shared" si="27"/>
        <v>#VALUE!</v>
      </c>
      <c r="AT156" s="3" t="e">
        <f t="shared" si="28"/>
        <v>#VALUE!</v>
      </c>
      <c r="AU156" s="16" t="e">
        <f t="shared" si="29"/>
        <v>#VALUE!</v>
      </c>
      <c r="AW156" s="3">
        <f t="shared" si="35"/>
        <v>7600000</v>
      </c>
      <c r="AX156" s="3" t="e">
        <f t="shared" si="36"/>
        <v>#VALUE!</v>
      </c>
    </row>
    <row r="157" spans="1:50" ht="17" thickBot="1" x14ac:dyDescent="0.25">
      <c r="A157" s="5" t="s">
        <v>25</v>
      </c>
      <c r="B157" s="12" t="s">
        <v>26</v>
      </c>
      <c r="C157" s="12" t="s">
        <v>188</v>
      </c>
      <c r="D157" s="13" t="s">
        <v>35</v>
      </c>
      <c r="E157" s="14" t="s">
        <v>35</v>
      </c>
      <c r="F157" s="14" t="s">
        <v>35</v>
      </c>
      <c r="G157" s="14" t="s">
        <v>35</v>
      </c>
      <c r="H157" s="13">
        <v>1</v>
      </c>
      <c r="I157" s="14">
        <v>7669.7476699999997</v>
      </c>
      <c r="J157" s="14">
        <v>17.04</v>
      </c>
      <c r="K157" s="14">
        <v>0</v>
      </c>
      <c r="L157" s="13" t="s">
        <v>35</v>
      </c>
      <c r="M157" s="14" t="s">
        <v>35</v>
      </c>
      <c r="N157" s="14" t="s">
        <v>35</v>
      </c>
      <c r="O157" s="14" t="s">
        <v>35</v>
      </c>
      <c r="P157" s="13">
        <v>36</v>
      </c>
      <c r="Q157" s="14">
        <v>276201.07542000001</v>
      </c>
      <c r="R157" s="14">
        <v>11770.22752</v>
      </c>
      <c r="S157" s="14">
        <v>0</v>
      </c>
      <c r="AA157" s="15" t="str">
        <f t="shared" si="37"/>
        <v>-</v>
      </c>
      <c r="AG157" s="16"/>
      <c r="AH157" s="15" t="str">
        <f t="shared" si="38"/>
        <v>-</v>
      </c>
      <c r="AI157" s="15"/>
      <c r="AJ157" s="3"/>
      <c r="AK157" s="15"/>
      <c r="AL157" s="3"/>
      <c r="AM157" s="3"/>
      <c r="AN157" s="16"/>
      <c r="AO157" s="15">
        <f t="shared" si="39"/>
        <v>-15.400000000000002</v>
      </c>
      <c r="AP157" s="15">
        <f t="shared" si="30"/>
        <v>14.2</v>
      </c>
      <c r="AQ157" s="3" t="e">
        <f t="shared" ref="AQ157:AQ184" si="41">AVERAGE($AW157:$AX157)/1000</f>
        <v>#VALUE!</v>
      </c>
      <c r="AR157" s="15" t="e">
        <f t="shared" si="40"/>
        <v>#VALUE!</v>
      </c>
      <c r="AS157" s="3" t="e">
        <f t="shared" ref="AS157:AS183" si="42">IF(AR157=0,0,Q157)</f>
        <v>#VALUE!</v>
      </c>
      <c r="AT157" s="3" t="e">
        <f t="shared" ref="AT157:AT184" si="43">AS157-AR157</f>
        <v>#VALUE!</v>
      </c>
      <c r="AU157" s="16" t="e">
        <f t="shared" si="29"/>
        <v>#VALUE!</v>
      </c>
      <c r="AW157" s="3">
        <f t="shared" si="35"/>
        <v>7650000</v>
      </c>
      <c r="AX157" s="3" t="e">
        <f t="shared" si="36"/>
        <v>#VALUE!</v>
      </c>
    </row>
    <row r="158" spans="1:50" ht="17" thickBot="1" x14ac:dyDescent="0.25">
      <c r="A158" s="5" t="s">
        <v>25</v>
      </c>
      <c r="B158" s="12" t="s">
        <v>26</v>
      </c>
      <c r="C158" s="12" t="s">
        <v>189</v>
      </c>
      <c r="D158" s="13" t="s">
        <v>35</v>
      </c>
      <c r="E158" s="14" t="s">
        <v>35</v>
      </c>
      <c r="F158" s="14" t="s">
        <v>35</v>
      </c>
      <c r="G158" s="14" t="s">
        <v>35</v>
      </c>
      <c r="H158" s="13" t="s">
        <v>35</v>
      </c>
      <c r="I158" s="14" t="s">
        <v>35</v>
      </c>
      <c r="J158" s="14" t="s">
        <v>35</v>
      </c>
      <c r="K158" s="14" t="s">
        <v>35</v>
      </c>
      <c r="L158" s="13" t="s">
        <v>35</v>
      </c>
      <c r="M158" s="14" t="s">
        <v>35</v>
      </c>
      <c r="N158" s="14" t="s">
        <v>35</v>
      </c>
      <c r="O158" s="14" t="s">
        <v>35</v>
      </c>
      <c r="P158" s="13">
        <v>34</v>
      </c>
      <c r="Q158" s="14">
        <v>262662.92495999997</v>
      </c>
      <c r="R158" s="14">
        <v>12418.18728</v>
      </c>
      <c r="S158" s="14">
        <v>0</v>
      </c>
      <c r="AA158" s="15" t="str">
        <f t="shared" si="37"/>
        <v>-</v>
      </c>
      <c r="AG158" s="16"/>
      <c r="AH158" s="15" t="str">
        <f t="shared" si="38"/>
        <v>-</v>
      </c>
      <c r="AI158" s="15"/>
      <c r="AJ158" s="3"/>
      <c r="AK158" s="15"/>
      <c r="AL158" s="3"/>
      <c r="AM158" s="3"/>
      <c r="AN158" s="16"/>
      <c r="AO158" s="15">
        <f t="shared" si="39"/>
        <v>-15.399999999999999</v>
      </c>
      <c r="AP158" s="15">
        <f t="shared" si="30"/>
        <v>14.2</v>
      </c>
      <c r="AQ158" s="3" t="e">
        <f t="shared" si="41"/>
        <v>#VALUE!</v>
      </c>
      <c r="AR158" s="15" t="e">
        <f t="shared" si="40"/>
        <v>#VALUE!</v>
      </c>
      <c r="AS158" s="3" t="e">
        <f t="shared" si="42"/>
        <v>#VALUE!</v>
      </c>
      <c r="AT158" s="3" t="e">
        <f t="shared" si="43"/>
        <v>#VALUE!</v>
      </c>
      <c r="AU158" s="16" t="e">
        <f t="shared" ref="AU158:AU184" si="44">AQ158-AQ157</f>
        <v>#VALUE!</v>
      </c>
      <c r="AW158" s="3">
        <f t="shared" si="35"/>
        <v>7700000</v>
      </c>
      <c r="AX158" s="3" t="e">
        <f t="shared" si="36"/>
        <v>#VALUE!</v>
      </c>
    </row>
    <row r="159" spans="1:50" ht="17" thickBot="1" x14ac:dyDescent="0.25">
      <c r="A159" s="5" t="s">
        <v>25</v>
      </c>
      <c r="B159" s="12" t="s">
        <v>26</v>
      </c>
      <c r="C159" s="12" t="s">
        <v>190</v>
      </c>
      <c r="D159" s="13" t="s">
        <v>35</v>
      </c>
      <c r="E159" s="14" t="s">
        <v>35</v>
      </c>
      <c r="F159" s="14" t="s">
        <v>35</v>
      </c>
      <c r="G159" s="14" t="s">
        <v>35</v>
      </c>
      <c r="H159" s="13" t="s">
        <v>35</v>
      </c>
      <c r="I159" s="14" t="s">
        <v>35</v>
      </c>
      <c r="J159" s="14" t="s">
        <v>35</v>
      </c>
      <c r="K159" s="14" t="s">
        <v>35</v>
      </c>
      <c r="L159" s="13" t="s">
        <v>35</v>
      </c>
      <c r="M159" s="14" t="s">
        <v>35</v>
      </c>
      <c r="N159" s="14" t="s">
        <v>35</v>
      </c>
      <c r="O159" s="14" t="s">
        <v>35</v>
      </c>
      <c r="P159" s="13">
        <v>38</v>
      </c>
      <c r="Q159" s="14">
        <v>295518.68533000001</v>
      </c>
      <c r="R159" s="14">
        <v>14791.06609</v>
      </c>
      <c r="S159" s="14">
        <v>0</v>
      </c>
      <c r="AA159" s="15" t="str">
        <f t="shared" si="37"/>
        <v>-</v>
      </c>
      <c r="AG159" s="16"/>
      <c r="AH159" s="15" t="str">
        <f t="shared" si="38"/>
        <v>-</v>
      </c>
      <c r="AI159" s="15"/>
      <c r="AJ159" s="3"/>
      <c r="AK159" s="15"/>
      <c r="AL159" s="3"/>
      <c r="AM159" s="3"/>
      <c r="AN159" s="16"/>
      <c r="AO159" s="15">
        <f t="shared" si="39"/>
        <v>-16.8</v>
      </c>
      <c r="AP159" s="15">
        <f t="shared" ref="AP159:AP184" si="45">AP158</f>
        <v>14.2</v>
      </c>
      <c r="AQ159" s="3" t="e">
        <f t="shared" si="41"/>
        <v>#VALUE!</v>
      </c>
      <c r="AR159" s="15" t="e">
        <f t="shared" si="40"/>
        <v>#VALUE!</v>
      </c>
      <c r="AS159" s="3" t="e">
        <f t="shared" si="42"/>
        <v>#VALUE!</v>
      </c>
      <c r="AT159" s="3" t="e">
        <f t="shared" si="43"/>
        <v>#VALUE!</v>
      </c>
      <c r="AU159" s="16" t="e">
        <f t="shared" si="44"/>
        <v>#VALUE!</v>
      </c>
      <c r="AW159" s="3">
        <f t="shared" si="35"/>
        <v>7750000</v>
      </c>
      <c r="AX159" s="3" t="e">
        <f t="shared" si="36"/>
        <v>#VALUE!</v>
      </c>
    </row>
    <row r="160" spans="1:50" ht="17" thickBot="1" x14ac:dyDescent="0.25">
      <c r="A160" s="5" t="s">
        <v>25</v>
      </c>
      <c r="B160" s="12" t="s">
        <v>26</v>
      </c>
      <c r="C160" s="12" t="s">
        <v>191</v>
      </c>
      <c r="D160" s="13" t="s">
        <v>35</v>
      </c>
      <c r="E160" s="14" t="s">
        <v>35</v>
      </c>
      <c r="F160" s="14" t="s">
        <v>35</v>
      </c>
      <c r="G160" s="14" t="s">
        <v>35</v>
      </c>
      <c r="H160" s="13">
        <v>1</v>
      </c>
      <c r="I160" s="14">
        <v>7803.99215</v>
      </c>
      <c r="J160" s="14">
        <v>15.58</v>
      </c>
      <c r="K160" s="14">
        <v>0</v>
      </c>
      <c r="L160" s="13" t="s">
        <v>35</v>
      </c>
      <c r="M160" s="14" t="s">
        <v>35</v>
      </c>
      <c r="N160" s="14" t="s">
        <v>35</v>
      </c>
      <c r="O160" s="14" t="s">
        <v>35</v>
      </c>
      <c r="P160" s="13">
        <v>44</v>
      </c>
      <c r="Q160" s="14">
        <v>344305.64578000002</v>
      </c>
      <c r="R160" s="14">
        <v>16978.331040000001</v>
      </c>
      <c r="S160" s="14">
        <v>0</v>
      </c>
      <c r="AA160" s="15" t="str">
        <f t="shared" si="37"/>
        <v>-</v>
      </c>
      <c r="AG160" s="16"/>
      <c r="AH160" s="15" t="str">
        <f t="shared" si="38"/>
        <v>-</v>
      </c>
      <c r="AI160" s="15"/>
      <c r="AJ160" s="3"/>
      <c r="AK160" s="15"/>
      <c r="AL160" s="3"/>
      <c r="AM160" s="3"/>
      <c r="AN160" s="16"/>
      <c r="AO160" s="15">
        <f t="shared" si="39"/>
        <v>-17.200000000000003</v>
      </c>
      <c r="AP160" s="15">
        <f t="shared" si="45"/>
        <v>14.2</v>
      </c>
      <c r="AQ160" s="3" t="e">
        <f t="shared" si="41"/>
        <v>#VALUE!</v>
      </c>
      <c r="AR160" s="15" t="e">
        <f t="shared" si="40"/>
        <v>#VALUE!</v>
      </c>
      <c r="AS160" s="3" t="e">
        <f t="shared" si="42"/>
        <v>#VALUE!</v>
      </c>
      <c r="AT160" s="3" t="e">
        <f t="shared" si="43"/>
        <v>#VALUE!</v>
      </c>
      <c r="AU160" s="16" t="e">
        <f t="shared" si="44"/>
        <v>#VALUE!</v>
      </c>
      <c r="AW160" s="3">
        <f t="shared" si="35"/>
        <v>7800000</v>
      </c>
      <c r="AX160" s="3" t="e">
        <f t="shared" si="36"/>
        <v>#VALUE!</v>
      </c>
    </row>
    <row r="161" spans="1:50" ht="17" thickBot="1" x14ac:dyDescent="0.25">
      <c r="A161" s="5" t="s">
        <v>25</v>
      </c>
      <c r="B161" s="12" t="s">
        <v>26</v>
      </c>
      <c r="C161" s="12" t="s">
        <v>192</v>
      </c>
      <c r="D161" s="13" t="s">
        <v>35</v>
      </c>
      <c r="E161" s="14" t="s">
        <v>35</v>
      </c>
      <c r="F161" s="14" t="s">
        <v>35</v>
      </c>
      <c r="G161" s="14" t="s">
        <v>35</v>
      </c>
      <c r="H161" s="13" t="s">
        <v>35</v>
      </c>
      <c r="I161" s="14" t="s">
        <v>35</v>
      </c>
      <c r="J161" s="14" t="s">
        <v>35</v>
      </c>
      <c r="K161" s="14" t="s">
        <v>35</v>
      </c>
      <c r="L161" s="13" t="s">
        <v>35</v>
      </c>
      <c r="M161" s="14" t="s">
        <v>35</v>
      </c>
      <c r="N161" s="14" t="s">
        <v>35</v>
      </c>
      <c r="O161" s="14" t="s">
        <v>35</v>
      </c>
      <c r="P161" s="13">
        <v>34</v>
      </c>
      <c r="Q161" s="14">
        <v>267684.10736000002</v>
      </c>
      <c r="R161" s="14">
        <v>12300.277029999999</v>
      </c>
      <c r="S161" s="14">
        <v>0</v>
      </c>
      <c r="AA161" s="15" t="str">
        <f t="shared" si="37"/>
        <v>-</v>
      </c>
      <c r="AG161" s="16"/>
      <c r="AH161" s="15" t="str">
        <f t="shared" si="38"/>
        <v>-</v>
      </c>
      <c r="AI161" s="15"/>
      <c r="AJ161" s="3"/>
      <c r="AK161" s="15"/>
      <c r="AL161" s="3"/>
      <c r="AM161" s="3"/>
      <c r="AN161" s="16"/>
      <c r="AO161" s="15">
        <f t="shared" si="39"/>
        <v>-22.799999999999997</v>
      </c>
      <c r="AP161" s="15">
        <f t="shared" si="45"/>
        <v>14.2</v>
      </c>
      <c r="AQ161" s="3" t="e">
        <f t="shared" si="41"/>
        <v>#VALUE!</v>
      </c>
      <c r="AR161" s="15" t="e">
        <f t="shared" si="40"/>
        <v>#VALUE!</v>
      </c>
      <c r="AS161" s="3" t="e">
        <f t="shared" si="42"/>
        <v>#VALUE!</v>
      </c>
      <c r="AT161" s="3" t="e">
        <f t="shared" si="43"/>
        <v>#VALUE!</v>
      </c>
      <c r="AU161" s="16" t="e">
        <f t="shared" si="44"/>
        <v>#VALUE!</v>
      </c>
      <c r="AW161" s="3">
        <f t="shared" si="35"/>
        <v>7850000</v>
      </c>
      <c r="AX161" s="3" t="e">
        <f t="shared" si="36"/>
        <v>#VALUE!</v>
      </c>
    </row>
    <row r="162" spans="1:50" ht="17" thickBot="1" x14ac:dyDescent="0.25">
      <c r="A162" s="5" t="s">
        <v>25</v>
      </c>
      <c r="B162" s="12" t="s">
        <v>26</v>
      </c>
      <c r="C162" s="12" t="s">
        <v>193</v>
      </c>
      <c r="D162" s="13" t="s">
        <v>35</v>
      </c>
      <c r="E162" s="14" t="s">
        <v>35</v>
      </c>
      <c r="F162" s="14" t="s">
        <v>35</v>
      </c>
      <c r="G162" s="14" t="s">
        <v>35</v>
      </c>
      <c r="H162" s="13" t="s">
        <v>35</v>
      </c>
      <c r="I162" s="14" t="s">
        <v>35</v>
      </c>
      <c r="J162" s="14" t="s">
        <v>35</v>
      </c>
      <c r="K162" s="14" t="s">
        <v>35</v>
      </c>
      <c r="L162" s="13" t="s">
        <v>35</v>
      </c>
      <c r="M162" s="14" t="s">
        <v>35</v>
      </c>
      <c r="N162" s="14" t="s">
        <v>35</v>
      </c>
      <c r="O162" s="14" t="s">
        <v>35</v>
      </c>
      <c r="P162" s="13">
        <v>51</v>
      </c>
      <c r="Q162" s="14">
        <v>404285.88630000001</v>
      </c>
      <c r="R162" s="14">
        <v>19254.676930000001</v>
      </c>
      <c r="S162" s="14">
        <v>0</v>
      </c>
      <c r="AA162" s="15" t="str">
        <f t="shared" si="37"/>
        <v>-</v>
      </c>
      <c r="AG162" s="16"/>
      <c r="AH162" s="15" t="str">
        <f t="shared" si="38"/>
        <v>-</v>
      </c>
      <c r="AI162" s="15"/>
      <c r="AJ162" s="3"/>
      <c r="AK162" s="15"/>
      <c r="AL162" s="3"/>
      <c r="AM162" s="3"/>
      <c r="AN162" s="16"/>
      <c r="AO162" s="15">
        <f t="shared" si="39"/>
        <v>-28</v>
      </c>
      <c r="AP162" s="15">
        <f t="shared" si="45"/>
        <v>14.2</v>
      </c>
      <c r="AQ162" s="3" t="e">
        <f t="shared" si="41"/>
        <v>#VALUE!</v>
      </c>
      <c r="AR162" s="15" t="e">
        <f t="shared" si="40"/>
        <v>#VALUE!</v>
      </c>
      <c r="AS162" s="3" t="e">
        <f t="shared" si="42"/>
        <v>#VALUE!</v>
      </c>
      <c r="AT162" s="3" t="e">
        <f t="shared" si="43"/>
        <v>#VALUE!</v>
      </c>
      <c r="AU162" s="16" t="e">
        <f t="shared" si="44"/>
        <v>#VALUE!</v>
      </c>
      <c r="AW162" s="3">
        <f t="shared" si="35"/>
        <v>7900000</v>
      </c>
      <c r="AX162" s="3" t="e">
        <f t="shared" si="36"/>
        <v>#VALUE!</v>
      </c>
    </row>
    <row r="163" spans="1:50" ht="17" thickBot="1" x14ac:dyDescent="0.25">
      <c r="A163" s="5" t="s">
        <v>25</v>
      </c>
      <c r="B163" s="12" t="s">
        <v>26</v>
      </c>
      <c r="C163" s="12" t="s">
        <v>194</v>
      </c>
      <c r="D163" s="13" t="s">
        <v>35</v>
      </c>
      <c r="E163" s="14" t="s">
        <v>35</v>
      </c>
      <c r="F163" s="14" t="s">
        <v>35</v>
      </c>
      <c r="G163" s="14" t="s">
        <v>35</v>
      </c>
      <c r="H163" s="13" t="s">
        <v>35</v>
      </c>
      <c r="I163" s="14" t="s">
        <v>35</v>
      </c>
      <c r="J163" s="14" t="s">
        <v>35</v>
      </c>
      <c r="K163" s="14" t="s">
        <v>35</v>
      </c>
      <c r="L163" s="13" t="s">
        <v>35</v>
      </c>
      <c r="M163" s="14" t="s">
        <v>35</v>
      </c>
      <c r="N163" s="14" t="s">
        <v>35</v>
      </c>
      <c r="O163" s="14" t="s">
        <v>35</v>
      </c>
      <c r="P163" s="13">
        <v>43</v>
      </c>
      <c r="Q163" s="14">
        <v>342932.51163999998</v>
      </c>
      <c r="R163" s="14">
        <v>16310.11169</v>
      </c>
      <c r="S163" s="14">
        <v>0</v>
      </c>
      <c r="AA163" s="15" t="str">
        <f t="shared" si="37"/>
        <v>-</v>
      </c>
      <c r="AG163" s="16"/>
      <c r="AH163" s="15" t="str">
        <f t="shared" si="38"/>
        <v>-</v>
      </c>
      <c r="AI163" s="15"/>
      <c r="AJ163" s="3"/>
      <c r="AK163" s="15"/>
      <c r="AL163" s="3"/>
      <c r="AM163" s="3"/>
      <c r="AN163" s="16"/>
      <c r="AO163" s="15">
        <f t="shared" si="39"/>
        <v>-43</v>
      </c>
      <c r="AP163" s="15">
        <f t="shared" si="45"/>
        <v>14.2</v>
      </c>
      <c r="AQ163" s="3" t="e">
        <f t="shared" si="41"/>
        <v>#VALUE!</v>
      </c>
      <c r="AR163" s="15" t="e">
        <f t="shared" si="40"/>
        <v>#VALUE!</v>
      </c>
      <c r="AS163" s="3" t="e">
        <f t="shared" si="42"/>
        <v>#VALUE!</v>
      </c>
      <c r="AT163" s="3" t="e">
        <f t="shared" si="43"/>
        <v>#VALUE!</v>
      </c>
      <c r="AU163" s="16" t="e">
        <f t="shared" si="44"/>
        <v>#VALUE!</v>
      </c>
      <c r="AW163" s="3">
        <f t="shared" si="35"/>
        <v>7950000</v>
      </c>
      <c r="AX163" s="3" t="e">
        <f t="shared" si="36"/>
        <v>#VALUE!</v>
      </c>
    </row>
    <row r="164" spans="1:50" ht="17" thickBot="1" x14ac:dyDescent="0.25">
      <c r="A164" s="5" t="s">
        <v>25</v>
      </c>
      <c r="B164" s="12" t="s">
        <v>26</v>
      </c>
      <c r="C164" s="12" t="s">
        <v>195</v>
      </c>
      <c r="D164" s="13" t="s">
        <v>35</v>
      </c>
      <c r="E164" s="14" t="s">
        <v>35</v>
      </c>
      <c r="F164" s="14" t="s">
        <v>35</v>
      </c>
      <c r="G164" s="14" t="s">
        <v>35</v>
      </c>
      <c r="H164" s="13">
        <v>1</v>
      </c>
      <c r="I164" s="14">
        <v>8021.1819100000002</v>
      </c>
      <c r="J164" s="14">
        <v>17.04</v>
      </c>
      <c r="K164" s="14">
        <v>0</v>
      </c>
      <c r="L164" s="13" t="s">
        <v>35</v>
      </c>
      <c r="M164" s="14" t="s">
        <v>35</v>
      </c>
      <c r="N164" s="14" t="s">
        <v>35</v>
      </c>
      <c r="O164" s="14" t="s">
        <v>35</v>
      </c>
      <c r="P164" s="13">
        <v>53</v>
      </c>
      <c r="Q164" s="14">
        <v>425386.70168</v>
      </c>
      <c r="R164" s="14">
        <v>20016.40581</v>
      </c>
      <c r="S164" s="14">
        <v>0</v>
      </c>
      <c r="AA164" s="15" t="str">
        <f t="shared" si="37"/>
        <v>-</v>
      </c>
      <c r="AG164" s="16"/>
      <c r="AH164" s="15" t="str">
        <f t="shared" si="38"/>
        <v>-</v>
      </c>
      <c r="AI164" s="15"/>
      <c r="AJ164" s="3"/>
      <c r="AK164" s="15"/>
      <c r="AL164" s="3"/>
      <c r="AM164" s="3"/>
      <c r="AN164" s="16"/>
      <c r="AO164" s="15">
        <f t="shared" si="39"/>
        <v>-51.2</v>
      </c>
      <c r="AP164" s="15">
        <f t="shared" si="45"/>
        <v>14.2</v>
      </c>
      <c r="AQ164" s="3" t="e">
        <f t="shared" si="41"/>
        <v>#VALUE!</v>
      </c>
      <c r="AR164" s="15" t="e">
        <f t="shared" si="40"/>
        <v>#VALUE!</v>
      </c>
      <c r="AS164" s="3" t="e">
        <f t="shared" si="42"/>
        <v>#VALUE!</v>
      </c>
      <c r="AT164" s="3" t="e">
        <f t="shared" si="43"/>
        <v>#VALUE!</v>
      </c>
      <c r="AU164" s="16" t="e">
        <f t="shared" si="44"/>
        <v>#VALUE!</v>
      </c>
      <c r="AW164" s="3">
        <f t="shared" si="35"/>
        <v>8000000</v>
      </c>
      <c r="AX164" s="3" t="e">
        <f t="shared" si="36"/>
        <v>#VALUE!</v>
      </c>
    </row>
    <row r="165" spans="1:50" ht="17" thickBot="1" x14ac:dyDescent="0.25">
      <c r="A165" s="5" t="s">
        <v>25</v>
      </c>
      <c r="B165" s="12" t="s">
        <v>26</v>
      </c>
      <c r="C165" s="12" t="s">
        <v>196</v>
      </c>
      <c r="D165" s="13" t="s">
        <v>35</v>
      </c>
      <c r="E165" s="14" t="s">
        <v>35</v>
      </c>
      <c r="F165" s="14" t="s">
        <v>35</v>
      </c>
      <c r="G165" s="14" t="s">
        <v>35</v>
      </c>
      <c r="H165" s="13" t="s">
        <v>35</v>
      </c>
      <c r="I165" s="14" t="s">
        <v>35</v>
      </c>
      <c r="J165" s="14" t="s">
        <v>35</v>
      </c>
      <c r="K165" s="14" t="s">
        <v>35</v>
      </c>
      <c r="L165" s="13" t="s">
        <v>35</v>
      </c>
      <c r="M165" s="14" t="s">
        <v>35</v>
      </c>
      <c r="N165" s="14" t="s">
        <v>35</v>
      </c>
      <c r="O165" s="14" t="s">
        <v>35</v>
      </c>
      <c r="P165" s="13">
        <v>72</v>
      </c>
      <c r="Q165" s="14">
        <v>581485.99630999996</v>
      </c>
      <c r="R165" s="14">
        <v>28703.767339999999</v>
      </c>
      <c r="S165" s="14">
        <v>0</v>
      </c>
      <c r="AA165" s="15" t="str">
        <f t="shared" si="37"/>
        <v>-</v>
      </c>
      <c r="AG165" s="16"/>
      <c r="AH165" s="15" t="str">
        <f t="shared" si="38"/>
        <v>-</v>
      </c>
      <c r="AI165" s="15"/>
      <c r="AJ165" s="3"/>
      <c r="AK165" s="15"/>
      <c r="AL165" s="3"/>
      <c r="AM165" s="3"/>
      <c r="AN165" s="16"/>
      <c r="AO165" s="15">
        <f t="shared" si="39"/>
        <v>-31.800000000000004</v>
      </c>
      <c r="AP165" s="15">
        <f t="shared" si="45"/>
        <v>14.2</v>
      </c>
      <c r="AQ165" s="3" t="e">
        <f t="shared" si="41"/>
        <v>#VALUE!</v>
      </c>
      <c r="AR165" s="15" t="e">
        <f t="shared" si="40"/>
        <v>#VALUE!</v>
      </c>
      <c r="AS165" s="3" t="e">
        <f t="shared" si="42"/>
        <v>#VALUE!</v>
      </c>
      <c r="AT165" s="3" t="e">
        <f t="shared" si="43"/>
        <v>#VALUE!</v>
      </c>
      <c r="AU165" s="16" t="e">
        <f t="shared" si="44"/>
        <v>#VALUE!</v>
      </c>
      <c r="AW165" s="3">
        <f t="shared" si="35"/>
        <v>8050000</v>
      </c>
      <c r="AX165" s="3" t="e">
        <f t="shared" si="36"/>
        <v>#VALUE!</v>
      </c>
    </row>
    <row r="166" spans="1:50" ht="17" thickBot="1" x14ac:dyDescent="0.25">
      <c r="A166" s="5" t="s">
        <v>25</v>
      </c>
      <c r="B166" s="12" t="s">
        <v>26</v>
      </c>
      <c r="C166" s="12" t="s">
        <v>197</v>
      </c>
      <c r="D166" s="13" t="s">
        <v>35</v>
      </c>
      <c r="E166" s="14" t="s">
        <v>35</v>
      </c>
      <c r="F166" s="14" t="s">
        <v>35</v>
      </c>
      <c r="G166" s="14" t="s">
        <v>35</v>
      </c>
      <c r="H166" s="13" t="s">
        <v>35</v>
      </c>
      <c r="I166" s="14" t="s">
        <v>35</v>
      </c>
      <c r="J166" s="14" t="s">
        <v>35</v>
      </c>
      <c r="K166" s="14" t="s">
        <v>35</v>
      </c>
      <c r="L166" s="13" t="s">
        <v>35</v>
      </c>
      <c r="M166" s="14" t="s">
        <v>35</v>
      </c>
      <c r="N166" s="14" t="s">
        <v>35</v>
      </c>
      <c r="O166" s="14" t="s">
        <v>35</v>
      </c>
      <c r="P166" s="13">
        <v>81</v>
      </c>
      <c r="Q166" s="14">
        <v>658209.93064000004</v>
      </c>
      <c r="R166" s="14">
        <v>32429.65668</v>
      </c>
      <c r="S166" s="14">
        <v>0</v>
      </c>
      <c r="AA166" s="15" t="str">
        <f t="shared" si="37"/>
        <v>-</v>
      </c>
      <c r="AG166" s="16"/>
      <c r="AH166" s="15" t="str">
        <f t="shared" si="38"/>
        <v>-</v>
      </c>
      <c r="AI166" s="15"/>
      <c r="AJ166" s="3"/>
      <c r="AK166" s="15"/>
      <c r="AL166" s="3"/>
      <c r="AM166" s="3"/>
      <c r="AN166" s="16"/>
      <c r="AO166" s="15">
        <f t="shared" si="39"/>
        <v>-7.2000000000000028</v>
      </c>
      <c r="AP166" s="15">
        <f t="shared" si="45"/>
        <v>14.2</v>
      </c>
      <c r="AQ166" s="3" t="e">
        <f t="shared" si="41"/>
        <v>#VALUE!</v>
      </c>
      <c r="AR166" s="15" t="e">
        <f t="shared" si="40"/>
        <v>#VALUE!</v>
      </c>
      <c r="AS166" s="3" t="e">
        <f t="shared" si="42"/>
        <v>#VALUE!</v>
      </c>
      <c r="AT166" s="3" t="e">
        <f t="shared" si="43"/>
        <v>#VALUE!</v>
      </c>
      <c r="AU166" s="16" t="e">
        <f t="shared" si="44"/>
        <v>#VALUE!</v>
      </c>
      <c r="AW166" s="3">
        <f t="shared" si="35"/>
        <v>8100000</v>
      </c>
      <c r="AX166" s="3" t="e">
        <f t="shared" si="36"/>
        <v>#VALUE!</v>
      </c>
    </row>
    <row r="167" spans="1:50" ht="17" thickBot="1" x14ac:dyDescent="0.25">
      <c r="A167" s="5" t="s">
        <v>25</v>
      </c>
      <c r="B167" s="12" t="s">
        <v>26</v>
      </c>
      <c r="C167" s="12" t="s">
        <v>198</v>
      </c>
      <c r="D167" s="13" t="s">
        <v>35</v>
      </c>
      <c r="E167" s="14" t="s">
        <v>35</v>
      </c>
      <c r="F167" s="14" t="s">
        <v>35</v>
      </c>
      <c r="G167" s="14" t="s">
        <v>35</v>
      </c>
      <c r="H167" s="13" t="s">
        <v>35</v>
      </c>
      <c r="I167" s="14" t="s">
        <v>35</v>
      </c>
      <c r="J167" s="14" t="s">
        <v>35</v>
      </c>
      <c r="K167" s="14" t="s">
        <v>35</v>
      </c>
      <c r="L167" s="13" t="s">
        <v>35</v>
      </c>
      <c r="M167" s="14" t="s">
        <v>35</v>
      </c>
      <c r="N167" s="14" t="s">
        <v>35</v>
      </c>
      <c r="O167" s="14" t="s">
        <v>35</v>
      </c>
      <c r="P167" s="13">
        <v>92</v>
      </c>
      <c r="Q167" s="14">
        <v>752115.64630999998</v>
      </c>
      <c r="R167" s="14">
        <v>35881.558590000001</v>
      </c>
      <c r="S167" s="14">
        <v>0</v>
      </c>
      <c r="AA167" s="15" t="str">
        <f t="shared" si="37"/>
        <v>-</v>
      </c>
      <c r="AG167" s="16"/>
      <c r="AH167" s="15" t="str">
        <f t="shared" si="38"/>
        <v>-</v>
      </c>
      <c r="AI167" s="15"/>
      <c r="AJ167" s="3"/>
      <c r="AK167" s="15"/>
      <c r="AL167" s="3"/>
      <c r="AM167" s="3"/>
      <c r="AN167" s="16"/>
      <c r="AO167" s="15">
        <f t="shared" si="39"/>
        <v>19</v>
      </c>
      <c r="AP167" s="15">
        <f t="shared" si="45"/>
        <v>14.2</v>
      </c>
      <c r="AQ167" s="3" t="e">
        <f t="shared" si="41"/>
        <v>#VALUE!</v>
      </c>
      <c r="AR167" s="15">
        <f t="shared" si="40"/>
        <v>0</v>
      </c>
      <c r="AS167" s="3">
        <f t="shared" si="42"/>
        <v>0</v>
      </c>
      <c r="AT167" s="3">
        <f t="shared" si="43"/>
        <v>0</v>
      </c>
      <c r="AU167" s="16" t="e">
        <f t="shared" si="44"/>
        <v>#VALUE!</v>
      </c>
      <c r="AW167" s="3">
        <f t="shared" si="35"/>
        <v>8150000</v>
      </c>
      <c r="AX167" s="3" t="e">
        <f t="shared" si="36"/>
        <v>#VALUE!</v>
      </c>
    </row>
    <row r="168" spans="1:50" ht="17" thickBot="1" x14ac:dyDescent="0.25">
      <c r="A168" s="5" t="s">
        <v>25</v>
      </c>
      <c r="B168" s="12" t="s">
        <v>26</v>
      </c>
      <c r="C168" s="12" t="s">
        <v>199</v>
      </c>
      <c r="D168" s="13" t="s">
        <v>35</v>
      </c>
      <c r="E168" s="14" t="s">
        <v>35</v>
      </c>
      <c r="F168" s="14" t="s">
        <v>35</v>
      </c>
      <c r="G168" s="14" t="s">
        <v>35</v>
      </c>
      <c r="H168" s="13">
        <v>1</v>
      </c>
      <c r="I168" s="14">
        <v>8246.2469999999994</v>
      </c>
      <c r="J168" s="14">
        <v>17.04</v>
      </c>
      <c r="K168" s="14">
        <v>0</v>
      </c>
      <c r="L168" s="13" t="s">
        <v>35</v>
      </c>
      <c r="M168" s="14" t="s">
        <v>35</v>
      </c>
      <c r="N168" s="14" t="s">
        <v>35</v>
      </c>
      <c r="O168" s="14" t="s">
        <v>35</v>
      </c>
      <c r="P168" s="13">
        <v>127</v>
      </c>
      <c r="Q168" s="14">
        <v>1044905.15363</v>
      </c>
      <c r="R168" s="14">
        <v>52098.695500000002</v>
      </c>
      <c r="S168" s="14">
        <v>0</v>
      </c>
      <c r="AA168" s="15" t="str">
        <f t="shared" si="37"/>
        <v>-</v>
      </c>
      <c r="AG168" s="16"/>
      <c r="AH168" s="15" t="str">
        <f t="shared" si="38"/>
        <v>-</v>
      </c>
      <c r="AI168" s="15"/>
      <c r="AJ168" s="3"/>
      <c r="AK168" s="15"/>
      <c r="AL168" s="3"/>
      <c r="AM168" s="3"/>
      <c r="AN168" s="16"/>
      <c r="AO168" s="15">
        <f t="shared" si="39"/>
        <v>60.6</v>
      </c>
      <c r="AP168" s="15">
        <f t="shared" si="45"/>
        <v>14.2</v>
      </c>
      <c r="AQ168" s="3" t="e">
        <f t="shared" si="41"/>
        <v>#VALUE!</v>
      </c>
      <c r="AR168" s="15">
        <f t="shared" si="40"/>
        <v>0</v>
      </c>
      <c r="AS168" s="3">
        <f t="shared" si="42"/>
        <v>0</v>
      </c>
      <c r="AT168" s="3">
        <f t="shared" si="43"/>
        <v>0</v>
      </c>
      <c r="AU168" s="16" t="e">
        <f t="shared" si="44"/>
        <v>#VALUE!</v>
      </c>
      <c r="AW168" s="3">
        <f t="shared" si="35"/>
        <v>8200000</v>
      </c>
      <c r="AX168" s="3" t="e">
        <f t="shared" si="36"/>
        <v>#VALUE!</v>
      </c>
    </row>
    <row r="169" spans="1:50" s="21" customFormat="1" ht="17" thickBot="1" x14ac:dyDescent="0.25">
      <c r="A169" s="17" t="s">
        <v>25</v>
      </c>
      <c r="B169" s="18" t="s">
        <v>26</v>
      </c>
      <c r="C169" s="18" t="s">
        <v>200</v>
      </c>
      <c r="D169" s="19" t="s">
        <v>35</v>
      </c>
      <c r="E169" s="20" t="s">
        <v>35</v>
      </c>
      <c r="F169" s="20" t="s">
        <v>35</v>
      </c>
      <c r="G169" s="20" t="s">
        <v>35</v>
      </c>
      <c r="H169" s="19" t="s">
        <v>35</v>
      </c>
      <c r="I169" s="20" t="s">
        <v>35</v>
      </c>
      <c r="J169" s="20" t="s">
        <v>35</v>
      </c>
      <c r="K169" s="20" t="s">
        <v>35</v>
      </c>
      <c r="L169" s="19">
        <v>1</v>
      </c>
      <c r="M169" s="20">
        <v>8266.0224999999991</v>
      </c>
      <c r="N169" s="20">
        <v>161</v>
      </c>
      <c r="O169" s="20">
        <v>0</v>
      </c>
      <c r="P169" s="19">
        <v>109</v>
      </c>
      <c r="Q169" s="20">
        <v>901810.15177</v>
      </c>
      <c r="R169" s="20">
        <v>41081.430910000003</v>
      </c>
      <c r="S169" s="20">
        <v>1.0124</v>
      </c>
      <c r="AA169" s="15" t="str">
        <f t="shared" si="37"/>
        <v>-</v>
      </c>
      <c r="AB169" s="2"/>
      <c r="AC169" s="2"/>
      <c r="AD169" s="2"/>
      <c r="AE169" s="2"/>
      <c r="AF169" s="2"/>
      <c r="AG169" s="16"/>
      <c r="AH169" s="15" t="str">
        <f t="shared" si="38"/>
        <v>-</v>
      </c>
      <c r="AI169" s="15"/>
      <c r="AJ169" s="3"/>
      <c r="AK169" s="15"/>
      <c r="AL169" s="3"/>
      <c r="AM169" s="3"/>
      <c r="AN169" s="16"/>
      <c r="AO169" s="15">
        <f t="shared" si="39"/>
        <v>93.2</v>
      </c>
      <c r="AP169" s="15">
        <f t="shared" si="45"/>
        <v>14.2</v>
      </c>
      <c r="AQ169" s="3" t="e">
        <f t="shared" si="41"/>
        <v>#VALUE!</v>
      </c>
      <c r="AR169" s="15">
        <f t="shared" si="40"/>
        <v>0</v>
      </c>
      <c r="AS169" s="3">
        <f t="shared" si="42"/>
        <v>0</v>
      </c>
      <c r="AT169" s="3">
        <f t="shared" si="43"/>
        <v>0</v>
      </c>
      <c r="AU169" s="16" t="e">
        <f t="shared" si="44"/>
        <v>#VALUE!</v>
      </c>
      <c r="AV169" s="2"/>
      <c r="AW169" s="3">
        <f t="shared" si="35"/>
        <v>8250000</v>
      </c>
      <c r="AX169" s="3" t="e">
        <f t="shared" si="36"/>
        <v>#VALUE!</v>
      </c>
    </row>
    <row r="170" spans="1:50" ht="17" thickBot="1" x14ac:dyDescent="0.25">
      <c r="A170" s="5" t="s">
        <v>25</v>
      </c>
      <c r="B170" s="12" t="s">
        <v>26</v>
      </c>
      <c r="C170" s="12" t="s">
        <v>201</v>
      </c>
      <c r="D170" s="13" t="s">
        <v>35</v>
      </c>
      <c r="E170" s="14" t="s">
        <v>35</v>
      </c>
      <c r="F170" s="14" t="s">
        <v>35</v>
      </c>
      <c r="G170" s="14" t="s">
        <v>35</v>
      </c>
      <c r="H170" s="13" t="s">
        <v>35</v>
      </c>
      <c r="I170" s="14" t="s">
        <v>35</v>
      </c>
      <c r="J170" s="14" t="s">
        <v>35</v>
      </c>
      <c r="K170" s="14" t="s">
        <v>35</v>
      </c>
      <c r="L170" s="13" t="s">
        <v>35</v>
      </c>
      <c r="M170" s="14" t="s">
        <v>35</v>
      </c>
      <c r="N170" s="14" t="s">
        <v>35</v>
      </c>
      <c r="O170" s="14" t="s">
        <v>35</v>
      </c>
      <c r="P170" s="13">
        <v>3</v>
      </c>
      <c r="Q170" s="14">
        <v>25004.56409</v>
      </c>
      <c r="R170" s="14">
        <v>1442.34592</v>
      </c>
      <c r="S170" s="14">
        <v>0</v>
      </c>
      <c r="AA170" s="15" t="str">
        <f t="shared" si="37"/>
        <v>-</v>
      </c>
      <c r="AG170" s="16"/>
      <c r="AH170" s="15" t="str">
        <f t="shared" si="38"/>
        <v>-</v>
      </c>
      <c r="AI170" s="15"/>
      <c r="AJ170" s="3"/>
      <c r="AK170" s="15"/>
      <c r="AL170" s="3"/>
      <c r="AM170" s="3"/>
      <c r="AN170" s="16"/>
      <c r="AO170" s="15">
        <f t="shared" si="39"/>
        <v>79.800000000000011</v>
      </c>
      <c r="AP170" s="15">
        <f t="shared" si="45"/>
        <v>14.2</v>
      </c>
      <c r="AQ170" s="3" t="e">
        <f t="shared" si="41"/>
        <v>#VALUE!</v>
      </c>
      <c r="AR170" s="15">
        <f t="shared" si="40"/>
        <v>0</v>
      </c>
      <c r="AS170" s="3">
        <f t="shared" si="42"/>
        <v>0</v>
      </c>
      <c r="AT170" s="3">
        <f t="shared" si="43"/>
        <v>0</v>
      </c>
      <c r="AU170" s="16" t="e">
        <f t="shared" si="44"/>
        <v>#VALUE!</v>
      </c>
      <c r="AW170" s="3">
        <f t="shared" si="35"/>
        <v>8300000</v>
      </c>
      <c r="AX170" s="3" t="e">
        <f t="shared" si="36"/>
        <v>#VALUE!</v>
      </c>
    </row>
    <row r="171" spans="1:50" ht="17" thickBot="1" x14ac:dyDescent="0.25">
      <c r="A171" s="5" t="s">
        <v>25</v>
      </c>
      <c r="B171" s="12" t="s">
        <v>26</v>
      </c>
      <c r="C171" s="12" t="s">
        <v>202</v>
      </c>
      <c r="D171" s="13" t="s">
        <v>35</v>
      </c>
      <c r="E171" s="14" t="s">
        <v>35</v>
      </c>
      <c r="F171" s="14" t="s">
        <v>35</v>
      </c>
      <c r="G171" s="14" t="s">
        <v>35</v>
      </c>
      <c r="H171" s="13">
        <v>1</v>
      </c>
      <c r="I171" s="14">
        <v>8351.0995899999998</v>
      </c>
      <c r="J171" s="14">
        <v>311.8931</v>
      </c>
      <c r="K171" s="14">
        <v>0</v>
      </c>
      <c r="L171" s="13" t="s">
        <v>35</v>
      </c>
      <c r="M171" s="14" t="s">
        <v>35</v>
      </c>
      <c r="N171" s="14" t="s">
        <v>35</v>
      </c>
      <c r="O171" s="14" t="s">
        <v>35</v>
      </c>
      <c r="P171" s="13">
        <v>5</v>
      </c>
      <c r="Q171" s="14">
        <v>41906.150479999997</v>
      </c>
      <c r="R171" s="14">
        <v>2829.7715699999999</v>
      </c>
      <c r="S171" s="14">
        <v>0</v>
      </c>
      <c r="AA171" s="15" t="str">
        <f t="shared" si="37"/>
        <v>-</v>
      </c>
      <c r="AG171" s="16"/>
      <c r="AH171" s="15" t="str">
        <f t="shared" si="38"/>
        <v>-</v>
      </c>
      <c r="AI171" s="15"/>
      <c r="AJ171" s="3"/>
      <c r="AK171" s="15"/>
      <c r="AL171" s="3"/>
      <c r="AM171" s="3"/>
      <c r="AN171" s="16"/>
      <c r="AO171" s="15">
        <f t="shared" si="39"/>
        <v>65.2</v>
      </c>
      <c r="AP171" s="15">
        <f t="shared" si="45"/>
        <v>14.2</v>
      </c>
      <c r="AQ171" s="3" t="e">
        <f t="shared" si="41"/>
        <v>#VALUE!</v>
      </c>
      <c r="AR171" s="15">
        <f t="shared" si="40"/>
        <v>0</v>
      </c>
      <c r="AS171" s="3">
        <f t="shared" si="42"/>
        <v>0</v>
      </c>
      <c r="AT171" s="3">
        <f t="shared" si="43"/>
        <v>0</v>
      </c>
      <c r="AU171" s="16" t="e">
        <f t="shared" si="44"/>
        <v>#VALUE!</v>
      </c>
      <c r="AW171" s="3">
        <f t="shared" si="35"/>
        <v>8350000</v>
      </c>
      <c r="AX171" s="3" t="e">
        <f t="shared" si="36"/>
        <v>#VALUE!</v>
      </c>
    </row>
    <row r="172" spans="1:50" ht="17" thickBot="1" x14ac:dyDescent="0.25">
      <c r="A172" s="5" t="s">
        <v>25</v>
      </c>
      <c r="B172" s="12" t="s">
        <v>26</v>
      </c>
      <c r="C172" s="12" t="s">
        <v>203</v>
      </c>
      <c r="D172" s="13" t="s">
        <v>35</v>
      </c>
      <c r="E172" s="14" t="s">
        <v>35</v>
      </c>
      <c r="F172" s="14" t="s">
        <v>35</v>
      </c>
      <c r="G172" s="14" t="s">
        <v>35</v>
      </c>
      <c r="H172" s="13" t="s">
        <v>35</v>
      </c>
      <c r="I172" s="14" t="s">
        <v>35</v>
      </c>
      <c r="J172" s="14" t="s">
        <v>35</v>
      </c>
      <c r="K172" s="14" t="s">
        <v>35</v>
      </c>
      <c r="L172" s="13" t="s">
        <v>35</v>
      </c>
      <c r="M172" s="14" t="s">
        <v>35</v>
      </c>
      <c r="N172" s="14" t="s">
        <v>35</v>
      </c>
      <c r="O172" s="14" t="s">
        <v>35</v>
      </c>
      <c r="P172" s="13">
        <v>2</v>
      </c>
      <c r="Q172" s="14">
        <v>16813.96831</v>
      </c>
      <c r="R172" s="14">
        <v>1011.57427</v>
      </c>
      <c r="S172" s="14">
        <v>0</v>
      </c>
      <c r="AA172" s="15" t="str">
        <f t="shared" si="37"/>
        <v>-</v>
      </c>
      <c r="AG172" s="16"/>
      <c r="AH172" s="15" t="str">
        <f t="shared" si="38"/>
        <v>-</v>
      </c>
      <c r="AI172" s="15"/>
      <c r="AJ172" s="3"/>
      <c r="AK172" s="15"/>
      <c r="AL172" s="3"/>
      <c r="AM172" s="3"/>
      <c r="AN172" s="16"/>
      <c r="AO172" s="15">
        <f t="shared" si="39"/>
        <v>47.400000000000006</v>
      </c>
      <c r="AP172" s="15">
        <f t="shared" si="45"/>
        <v>14.2</v>
      </c>
      <c r="AQ172" s="3" t="e">
        <f t="shared" si="41"/>
        <v>#VALUE!</v>
      </c>
      <c r="AR172" s="15">
        <f t="shared" si="40"/>
        <v>0</v>
      </c>
      <c r="AS172" s="3">
        <f t="shared" si="42"/>
        <v>0</v>
      </c>
      <c r="AT172" s="3">
        <f t="shared" si="43"/>
        <v>0</v>
      </c>
      <c r="AU172" s="16" t="e">
        <f t="shared" si="44"/>
        <v>#VALUE!</v>
      </c>
      <c r="AW172" s="3">
        <f t="shared" si="35"/>
        <v>8400000</v>
      </c>
      <c r="AX172" s="3" t="e">
        <f t="shared" si="36"/>
        <v>#VALUE!</v>
      </c>
    </row>
    <row r="173" spans="1:50" ht="17" thickBot="1" x14ac:dyDescent="0.25">
      <c r="A173" s="5" t="s">
        <v>25</v>
      </c>
      <c r="B173" s="12" t="s">
        <v>26</v>
      </c>
      <c r="C173" s="12" t="s">
        <v>204</v>
      </c>
      <c r="D173" s="13" t="s">
        <v>35</v>
      </c>
      <c r="E173" s="14" t="s">
        <v>35</v>
      </c>
      <c r="F173" s="14" t="s">
        <v>35</v>
      </c>
      <c r="G173" s="14" t="s">
        <v>35</v>
      </c>
      <c r="H173" s="13" t="s">
        <v>35</v>
      </c>
      <c r="I173" s="14" t="s">
        <v>35</v>
      </c>
      <c r="J173" s="14" t="s">
        <v>35</v>
      </c>
      <c r="K173" s="14" t="s">
        <v>35</v>
      </c>
      <c r="L173" s="13" t="s">
        <v>35</v>
      </c>
      <c r="M173" s="14" t="s">
        <v>35</v>
      </c>
      <c r="N173" s="14" t="s">
        <v>35</v>
      </c>
      <c r="O173" s="14" t="s">
        <v>35</v>
      </c>
      <c r="P173" s="13">
        <v>3</v>
      </c>
      <c r="Q173" s="14">
        <v>25424.492699999999</v>
      </c>
      <c r="R173" s="14">
        <v>775.09415999999999</v>
      </c>
      <c r="S173" s="14">
        <v>0</v>
      </c>
      <c r="AA173" s="15" t="str">
        <f t="shared" si="37"/>
        <v>-</v>
      </c>
      <c r="AG173" s="16"/>
      <c r="AH173" s="15" t="str">
        <f t="shared" si="38"/>
        <v>-</v>
      </c>
      <c r="AI173" s="15"/>
      <c r="AJ173" s="3"/>
      <c r="AK173" s="15"/>
      <c r="AL173" s="3"/>
      <c r="AM173" s="3"/>
      <c r="AN173" s="16"/>
      <c r="AO173" s="15">
        <f t="shared" si="39"/>
        <v>22.599999999999998</v>
      </c>
      <c r="AP173" s="15">
        <f t="shared" si="45"/>
        <v>14.2</v>
      </c>
      <c r="AQ173" s="3" t="e">
        <f t="shared" si="41"/>
        <v>#VALUE!</v>
      </c>
      <c r="AR173" s="15">
        <f t="shared" si="40"/>
        <v>0</v>
      </c>
      <c r="AS173" s="3">
        <f t="shared" si="42"/>
        <v>0</v>
      </c>
      <c r="AT173" s="3">
        <f t="shared" si="43"/>
        <v>0</v>
      </c>
      <c r="AU173" s="16" t="e">
        <f t="shared" si="44"/>
        <v>#VALUE!</v>
      </c>
      <c r="AW173" s="3">
        <f t="shared" si="35"/>
        <v>8450000</v>
      </c>
      <c r="AX173" s="3" t="e">
        <f t="shared" si="36"/>
        <v>#VALUE!</v>
      </c>
    </row>
    <row r="174" spans="1:50" ht="17" thickBot="1" x14ac:dyDescent="0.25">
      <c r="A174" s="5" t="s">
        <v>25</v>
      </c>
      <c r="B174" s="12" t="s">
        <v>26</v>
      </c>
      <c r="C174" s="12" t="s">
        <v>205</v>
      </c>
      <c r="D174" s="13" t="s">
        <v>35</v>
      </c>
      <c r="E174" s="14" t="s">
        <v>35</v>
      </c>
      <c r="F174" s="14" t="s">
        <v>35</v>
      </c>
      <c r="G174" s="14" t="s">
        <v>35</v>
      </c>
      <c r="H174" s="13" t="s">
        <v>35</v>
      </c>
      <c r="I174" s="14" t="s">
        <v>35</v>
      </c>
      <c r="J174" s="14" t="s">
        <v>35</v>
      </c>
      <c r="K174" s="14" t="s">
        <v>35</v>
      </c>
      <c r="L174" s="13" t="s">
        <v>35</v>
      </c>
      <c r="M174" s="14" t="s">
        <v>35</v>
      </c>
      <c r="N174" s="14" t="s">
        <v>35</v>
      </c>
      <c r="O174" s="14" t="s">
        <v>35</v>
      </c>
      <c r="P174" s="13">
        <v>2</v>
      </c>
      <c r="Q174" s="14">
        <v>17054.354770000002</v>
      </c>
      <c r="R174" s="14">
        <v>891.88099999999997</v>
      </c>
      <c r="S174" s="14">
        <v>0</v>
      </c>
      <c r="AA174" s="15" t="str">
        <f t="shared" si="37"/>
        <v>-</v>
      </c>
      <c r="AG174" s="16"/>
      <c r="AH174" s="15" t="str">
        <f t="shared" si="38"/>
        <v>-</v>
      </c>
      <c r="AI174" s="15"/>
      <c r="AJ174" s="3"/>
      <c r="AK174" s="15"/>
      <c r="AL174" s="3"/>
      <c r="AM174" s="3"/>
      <c r="AN174" s="16"/>
      <c r="AO174" s="15">
        <f t="shared" si="39"/>
        <v>1.4</v>
      </c>
      <c r="AP174" s="15">
        <f t="shared" si="45"/>
        <v>14.2</v>
      </c>
      <c r="AQ174" s="3" t="e">
        <f t="shared" si="41"/>
        <v>#VALUE!</v>
      </c>
      <c r="AR174" s="15">
        <f t="shared" si="40"/>
        <v>0</v>
      </c>
      <c r="AS174" s="3">
        <f t="shared" si="42"/>
        <v>0</v>
      </c>
      <c r="AT174" s="3">
        <f t="shared" si="43"/>
        <v>0</v>
      </c>
      <c r="AU174" s="16" t="e">
        <f t="shared" si="44"/>
        <v>#VALUE!</v>
      </c>
      <c r="AW174" s="3">
        <f t="shared" si="35"/>
        <v>8500000</v>
      </c>
      <c r="AX174" s="3" t="e">
        <f t="shared" si="36"/>
        <v>#VALUE!</v>
      </c>
    </row>
    <row r="175" spans="1:50" ht="17" thickBot="1" x14ac:dyDescent="0.25">
      <c r="A175" s="5" t="s">
        <v>25</v>
      </c>
      <c r="B175" s="12" t="s">
        <v>26</v>
      </c>
      <c r="C175" s="12" t="s">
        <v>206</v>
      </c>
      <c r="D175" s="13" t="s">
        <v>35</v>
      </c>
      <c r="E175" s="14" t="s">
        <v>35</v>
      </c>
      <c r="F175" s="14" t="s">
        <v>35</v>
      </c>
      <c r="G175" s="14" t="s">
        <v>35</v>
      </c>
      <c r="H175" s="13" t="s">
        <v>35</v>
      </c>
      <c r="I175" s="14" t="s">
        <v>35</v>
      </c>
      <c r="J175" s="14" t="s">
        <v>35</v>
      </c>
      <c r="K175" s="14" t="s">
        <v>35</v>
      </c>
      <c r="L175" s="13" t="s">
        <v>35</v>
      </c>
      <c r="M175" s="14" t="s">
        <v>35</v>
      </c>
      <c r="N175" s="14" t="s">
        <v>35</v>
      </c>
      <c r="O175" s="14" t="s">
        <v>35</v>
      </c>
      <c r="P175" s="13">
        <v>1</v>
      </c>
      <c r="Q175" s="14">
        <v>8554.6712800000005</v>
      </c>
      <c r="R175" s="14">
        <v>454.63069000000002</v>
      </c>
      <c r="S175" s="14">
        <v>0</v>
      </c>
      <c r="AA175" s="15" t="str">
        <f t="shared" si="37"/>
        <v>-</v>
      </c>
      <c r="AG175" s="16"/>
      <c r="AH175" s="15" t="str">
        <f t="shared" si="38"/>
        <v>-</v>
      </c>
      <c r="AI175" s="15"/>
      <c r="AJ175" s="3"/>
      <c r="AK175" s="15"/>
      <c r="AL175" s="3"/>
      <c r="AM175" s="3"/>
      <c r="AN175" s="16"/>
      <c r="AO175" s="15">
        <f t="shared" si="39"/>
        <v>1</v>
      </c>
      <c r="AP175" s="15">
        <f t="shared" si="45"/>
        <v>14.2</v>
      </c>
      <c r="AQ175" s="3" t="e">
        <f t="shared" si="41"/>
        <v>#VALUE!</v>
      </c>
      <c r="AR175" s="15">
        <f t="shared" si="40"/>
        <v>0</v>
      </c>
      <c r="AS175" s="3">
        <f t="shared" si="42"/>
        <v>0</v>
      </c>
      <c r="AT175" s="3">
        <f t="shared" si="43"/>
        <v>0</v>
      </c>
      <c r="AU175" s="16" t="e">
        <f t="shared" si="44"/>
        <v>#VALUE!</v>
      </c>
      <c r="AW175" s="3">
        <f t="shared" si="35"/>
        <v>8550000</v>
      </c>
      <c r="AX175" s="3" t="e">
        <f t="shared" si="36"/>
        <v>#VALUE!</v>
      </c>
    </row>
    <row r="176" spans="1:50" ht="17" thickBot="1" x14ac:dyDescent="0.25">
      <c r="A176" s="5" t="s">
        <v>25</v>
      </c>
      <c r="B176" s="12" t="s">
        <v>26</v>
      </c>
      <c r="C176" s="12" t="s">
        <v>207</v>
      </c>
      <c r="D176" s="13" t="s">
        <v>35</v>
      </c>
      <c r="E176" s="14" t="s">
        <v>35</v>
      </c>
      <c r="F176" s="14" t="s">
        <v>35</v>
      </c>
      <c r="G176" s="14" t="s">
        <v>35</v>
      </c>
      <c r="H176" s="13" t="s">
        <v>35</v>
      </c>
      <c r="I176" s="14" t="s">
        <v>35</v>
      </c>
      <c r="J176" s="14" t="s">
        <v>35</v>
      </c>
      <c r="K176" s="14" t="s">
        <v>35</v>
      </c>
      <c r="L176" s="13" t="s">
        <v>35</v>
      </c>
      <c r="M176" s="14" t="s">
        <v>35</v>
      </c>
      <c r="N176" s="14" t="s">
        <v>35</v>
      </c>
      <c r="O176" s="14" t="s">
        <v>35</v>
      </c>
      <c r="P176" s="13">
        <v>2</v>
      </c>
      <c r="Q176" s="14">
        <v>17215.97076</v>
      </c>
      <c r="R176" s="14">
        <v>545.91</v>
      </c>
      <c r="S176" s="14">
        <v>0</v>
      </c>
      <c r="AA176" s="15" t="str">
        <f t="shared" si="37"/>
        <v>-</v>
      </c>
      <c r="AG176" s="16"/>
      <c r="AH176" s="15" t="str">
        <f t="shared" si="38"/>
        <v>-</v>
      </c>
      <c r="AI176" s="15"/>
      <c r="AJ176" s="3"/>
      <c r="AK176" s="15"/>
      <c r="AL176" s="3"/>
      <c r="AM176" s="3"/>
      <c r="AN176" s="16"/>
      <c r="AO176" s="15">
        <f t="shared" si="39"/>
        <v>0.19999999999999996</v>
      </c>
      <c r="AP176" s="15">
        <f t="shared" si="45"/>
        <v>14.2</v>
      </c>
      <c r="AQ176" s="3" t="e">
        <f t="shared" si="41"/>
        <v>#VALUE!</v>
      </c>
      <c r="AR176" s="15">
        <f t="shared" si="40"/>
        <v>0</v>
      </c>
      <c r="AS176" s="3">
        <f t="shared" si="42"/>
        <v>0</v>
      </c>
      <c r="AT176" s="3">
        <f t="shared" si="43"/>
        <v>0</v>
      </c>
      <c r="AU176" s="16" t="e">
        <f t="shared" si="44"/>
        <v>#VALUE!</v>
      </c>
      <c r="AW176" s="3">
        <f t="shared" si="35"/>
        <v>8600000</v>
      </c>
      <c r="AX176" s="3" t="e">
        <f t="shared" si="36"/>
        <v>#VALUE!</v>
      </c>
    </row>
    <row r="177" spans="1:50" ht="17" thickBot="1" x14ac:dyDescent="0.25">
      <c r="A177" s="5" t="s">
        <v>25</v>
      </c>
      <c r="B177" s="12" t="s">
        <v>26</v>
      </c>
      <c r="C177" s="12" t="s">
        <v>208</v>
      </c>
      <c r="D177" s="13" t="s">
        <v>35</v>
      </c>
      <c r="E177" s="14" t="s">
        <v>35</v>
      </c>
      <c r="F177" s="14" t="s">
        <v>35</v>
      </c>
      <c r="G177" s="14" t="s">
        <v>35</v>
      </c>
      <c r="H177" s="13" t="s">
        <v>35</v>
      </c>
      <c r="I177" s="14" t="s">
        <v>35</v>
      </c>
      <c r="J177" s="14" t="s">
        <v>35</v>
      </c>
      <c r="K177" s="14" t="s">
        <v>35</v>
      </c>
      <c r="L177" s="13" t="s">
        <v>35</v>
      </c>
      <c r="M177" s="14" t="s">
        <v>35</v>
      </c>
      <c r="N177" s="14" t="s">
        <v>35</v>
      </c>
      <c r="O177" s="14" t="s">
        <v>35</v>
      </c>
      <c r="P177" s="13">
        <v>1</v>
      </c>
      <c r="Q177" s="14">
        <v>8665.4879000000001</v>
      </c>
      <c r="R177" s="14">
        <v>424.63499999999999</v>
      </c>
      <c r="S177" s="14">
        <v>0</v>
      </c>
      <c r="AA177" s="15" t="str">
        <f t="shared" si="37"/>
        <v>-</v>
      </c>
      <c r="AG177" s="16"/>
      <c r="AH177" s="15" t="str">
        <f t="shared" si="38"/>
        <v>-</v>
      </c>
      <c r="AI177" s="15"/>
      <c r="AJ177" s="3"/>
      <c r="AK177" s="15"/>
      <c r="AL177" s="3"/>
      <c r="AM177" s="3"/>
      <c r="AN177" s="16"/>
      <c r="AO177" s="15">
        <f t="shared" si="39"/>
        <v>0</v>
      </c>
      <c r="AP177" s="15">
        <f t="shared" si="45"/>
        <v>14.2</v>
      </c>
      <c r="AQ177" s="3" t="e">
        <f t="shared" si="41"/>
        <v>#VALUE!</v>
      </c>
      <c r="AR177" s="15">
        <f t="shared" si="40"/>
        <v>0</v>
      </c>
      <c r="AS177" s="3">
        <f t="shared" si="42"/>
        <v>0</v>
      </c>
      <c r="AT177" s="3">
        <f t="shared" si="43"/>
        <v>0</v>
      </c>
      <c r="AU177" s="16" t="e">
        <f t="shared" si="44"/>
        <v>#VALUE!</v>
      </c>
      <c r="AW177" s="3">
        <f t="shared" si="35"/>
        <v>8650000</v>
      </c>
      <c r="AX177" s="3" t="e">
        <f t="shared" si="36"/>
        <v>#VALUE!</v>
      </c>
    </row>
    <row r="178" spans="1:50" ht="17" thickBot="1" x14ac:dyDescent="0.25">
      <c r="A178" s="5" t="s">
        <v>25</v>
      </c>
      <c r="B178" s="12" t="s">
        <v>26</v>
      </c>
      <c r="C178" s="12" t="s">
        <v>209</v>
      </c>
      <c r="D178" s="13" t="s">
        <v>35</v>
      </c>
      <c r="E178" s="14" t="s">
        <v>35</v>
      </c>
      <c r="F178" s="14" t="s">
        <v>35</v>
      </c>
      <c r="G178" s="14" t="s">
        <v>35</v>
      </c>
      <c r="H178" s="13" t="s">
        <v>35</v>
      </c>
      <c r="I178" s="14" t="s">
        <v>35</v>
      </c>
      <c r="J178" s="14" t="s">
        <v>35</v>
      </c>
      <c r="K178" s="14" t="s">
        <v>35</v>
      </c>
      <c r="L178" s="13" t="s">
        <v>35</v>
      </c>
      <c r="M178" s="14" t="s">
        <v>35</v>
      </c>
      <c r="N178" s="14" t="s">
        <v>35</v>
      </c>
      <c r="O178" s="14" t="s">
        <v>35</v>
      </c>
      <c r="P178" s="13">
        <v>3</v>
      </c>
      <c r="Q178" s="14">
        <v>26203.28543</v>
      </c>
      <c r="R178" s="14">
        <v>1036.9188099999999</v>
      </c>
      <c r="S178" s="14">
        <v>0</v>
      </c>
      <c r="AA178" s="15" t="str">
        <f t="shared" si="37"/>
        <v>-</v>
      </c>
      <c r="AG178" s="16"/>
      <c r="AH178" s="15" t="str">
        <f t="shared" si="38"/>
        <v>-</v>
      </c>
      <c r="AI178" s="15"/>
      <c r="AJ178" s="3"/>
      <c r="AK178" s="15"/>
      <c r="AL178" s="3"/>
      <c r="AM178" s="3"/>
      <c r="AN178" s="16"/>
      <c r="AO178" s="15">
        <f t="shared" si="39"/>
        <v>0.40000000000000013</v>
      </c>
      <c r="AP178" s="15">
        <f t="shared" si="45"/>
        <v>14.2</v>
      </c>
      <c r="AQ178" s="3" t="e">
        <f t="shared" si="41"/>
        <v>#VALUE!</v>
      </c>
      <c r="AR178" s="15">
        <f t="shared" si="40"/>
        <v>0</v>
      </c>
      <c r="AS178" s="3">
        <f t="shared" si="42"/>
        <v>0</v>
      </c>
      <c r="AT178" s="3">
        <f t="shared" si="43"/>
        <v>0</v>
      </c>
      <c r="AU178" s="16" t="e">
        <f t="shared" si="44"/>
        <v>#VALUE!</v>
      </c>
      <c r="AW178" s="3">
        <f t="shared" si="35"/>
        <v>8700000</v>
      </c>
      <c r="AX178" s="3" t="e">
        <f t="shared" si="36"/>
        <v>#VALUE!</v>
      </c>
    </row>
    <row r="179" spans="1:50" ht="17" thickBot="1" x14ac:dyDescent="0.25">
      <c r="A179" s="5" t="s">
        <v>25</v>
      </c>
      <c r="B179" s="12" t="s">
        <v>26</v>
      </c>
      <c r="C179" s="12" t="s">
        <v>210</v>
      </c>
      <c r="D179" s="13" t="s">
        <v>35</v>
      </c>
      <c r="E179" s="14" t="s">
        <v>35</v>
      </c>
      <c r="F179" s="14" t="s">
        <v>35</v>
      </c>
      <c r="G179" s="14" t="s">
        <v>35</v>
      </c>
      <c r="H179" s="13" t="s">
        <v>35</v>
      </c>
      <c r="I179" s="14" t="s">
        <v>35</v>
      </c>
      <c r="J179" s="14" t="s">
        <v>35</v>
      </c>
      <c r="K179" s="14" t="s">
        <v>35</v>
      </c>
      <c r="L179" s="13" t="s">
        <v>35</v>
      </c>
      <c r="M179" s="14" t="s">
        <v>35</v>
      </c>
      <c r="N179" s="14" t="s">
        <v>35</v>
      </c>
      <c r="O179" s="14" t="s">
        <v>35</v>
      </c>
      <c r="P179" s="13">
        <v>1</v>
      </c>
      <c r="Q179" s="14">
        <v>8880</v>
      </c>
      <c r="R179" s="14">
        <v>414</v>
      </c>
      <c r="S179" s="14">
        <v>0</v>
      </c>
      <c r="AA179" s="15" t="str">
        <f t="shared" si="37"/>
        <v>-</v>
      </c>
      <c r="AG179" s="16"/>
      <c r="AH179" s="15" t="str">
        <f t="shared" si="38"/>
        <v>-</v>
      </c>
      <c r="AI179" s="15"/>
      <c r="AJ179" s="3"/>
      <c r="AK179" s="15"/>
      <c r="AL179" s="3"/>
      <c r="AM179" s="3"/>
      <c r="AN179" s="16"/>
      <c r="AO179" s="15">
        <f t="shared" si="39"/>
        <v>0.20000000000000018</v>
      </c>
      <c r="AP179" s="15">
        <f t="shared" si="45"/>
        <v>14.2</v>
      </c>
      <c r="AQ179" s="3" t="e">
        <f t="shared" si="41"/>
        <v>#VALUE!</v>
      </c>
      <c r="AR179" s="15">
        <f t="shared" si="40"/>
        <v>0</v>
      </c>
      <c r="AS179" s="3">
        <f t="shared" si="42"/>
        <v>0</v>
      </c>
      <c r="AT179" s="3">
        <f t="shared" si="43"/>
        <v>0</v>
      </c>
      <c r="AU179" s="16" t="e">
        <f t="shared" si="44"/>
        <v>#VALUE!</v>
      </c>
      <c r="AW179" s="3">
        <f t="shared" si="35"/>
        <v>8850000</v>
      </c>
      <c r="AX179" s="3" t="e">
        <f t="shared" si="36"/>
        <v>#VALUE!</v>
      </c>
    </row>
    <row r="180" spans="1:50" ht="17" thickBot="1" x14ac:dyDescent="0.25">
      <c r="A180" s="5" t="s">
        <v>25</v>
      </c>
      <c r="B180" s="12" t="s">
        <v>26</v>
      </c>
      <c r="C180" s="12" t="s">
        <v>211</v>
      </c>
      <c r="D180" s="13" t="s">
        <v>35</v>
      </c>
      <c r="E180" s="14" t="s">
        <v>35</v>
      </c>
      <c r="F180" s="14" t="s">
        <v>35</v>
      </c>
      <c r="G180" s="14" t="s">
        <v>35</v>
      </c>
      <c r="H180" s="13" t="s">
        <v>35</v>
      </c>
      <c r="I180" s="14" t="s">
        <v>35</v>
      </c>
      <c r="J180" s="14" t="s">
        <v>35</v>
      </c>
      <c r="K180" s="14" t="s">
        <v>35</v>
      </c>
      <c r="L180" s="13" t="s">
        <v>35</v>
      </c>
      <c r="M180" s="14" t="s">
        <v>35</v>
      </c>
      <c r="N180" s="14" t="s">
        <v>35</v>
      </c>
      <c r="O180" s="14" t="s">
        <v>35</v>
      </c>
      <c r="P180" s="13">
        <v>1</v>
      </c>
      <c r="Q180" s="14">
        <v>9130.5565399999996</v>
      </c>
      <c r="R180" s="14">
        <v>568.85415</v>
      </c>
      <c r="S180" s="14">
        <v>0</v>
      </c>
      <c r="AA180" s="15" t="str">
        <f t="shared" si="37"/>
        <v>-</v>
      </c>
      <c r="AG180" s="16"/>
      <c r="AH180" s="15" t="str">
        <f t="shared" si="38"/>
        <v>-</v>
      </c>
      <c r="AI180" s="15"/>
      <c r="AJ180" s="3"/>
      <c r="AK180" s="15"/>
      <c r="AL180" s="3"/>
      <c r="AM180" s="3"/>
      <c r="AN180" s="16"/>
      <c r="AO180" s="15">
        <f t="shared" si="39"/>
        <v>0</v>
      </c>
      <c r="AP180" s="15">
        <f t="shared" si="45"/>
        <v>14.2</v>
      </c>
      <c r="AQ180" s="3" t="e">
        <f t="shared" si="41"/>
        <v>#VALUE!</v>
      </c>
      <c r="AR180" s="15">
        <f t="shared" si="40"/>
        <v>0</v>
      </c>
      <c r="AS180" s="3">
        <f t="shared" si="42"/>
        <v>0</v>
      </c>
      <c r="AT180" s="3">
        <f t="shared" si="43"/>
        <v>0</v>
      </c>
      <c r="AU180" s="16" t="e">
        <f t="shared" si="44"/>
        <v>#VALUE!</v>
      </c>
      <c r="AW180" s="3">
        <f t="shared" si="35"/>
        <v>9100000</v>
      </c>
      <c r="AX180" s="3" t="e">
        <f t="shared" si="36"/>
        <v>#VALUE!</v>
      </c>
    </row>
    <row r="181" spans="1:50" ht="17" thickBot="1" x14ac:dyDescent="0.25">
      <c r="A181" s="5" t="s">
        <v>25</v>
      </c>
      <c r="B181" s="12" t="s">
        <v>26</v>
      </c>
      <c r="C181" s="12" t="s">
        <v>212</v>
      </c>
      <c r="D181" s="13" t="s">
        <v>35</v>
      </c>
      <c r="E181" s="14" t="s">
        <v>35</v>
      </c>
      <c r="F181" s="14" t="s">
        <v>35</v>
      </c>
      <c r="G181" s="14" t="s">
        <v>35</v>
      </c>
      <c r="H181" s="13" t="s">
        <v>35</v>
      </c>
      <c r="I181" s="14" t="s">
        <v>35</v>
      </c>
      <c r="J181" s="14" t="s">
        <v>35</v>
      </c>
      <c r="K181" s="14" t="s">
        <v>35</v>
      </c>
      <c r="L181" s="13" t="s">
        <v>35</v>
      </c>
      <c r="M181" s="14" t="s">
        <v>35</v>
      </c>
      <c r="N181" s="14" t="s">
        <v>35</v>
      </c>
      <c r="O181" s="14" t="s">
        <v>35</v>
      </c>
      <c r="P181" s="13">
        <v>3</v>
      </c>
      <c r="Q181" s="14">
        <v>27555.72222</v>
      </c>
      <c r="R181" s="14">
        <v>1576.4072100000001</v>
      </c>
      <c r="S181" s="14">
        <v>0</v>
      </c>
      <c r="AA181" s="15" t="str">
        <f t="shared" si="37"/>
        <v>-</v>
      </c>
      <c r="AG181" s="16"/>
      <c r="AH181" s="15" t="str">
        <f t="shared" si="38"/>
        <v>-</v>
      </c>
      <c r="AI181" s="15"/>
      <c r="AJ181" s="3"/>
      <c r="AK181" s="15"/>
      <c r="AL181" s="3"/>
      <c r="AM181" s="3"/>
      <c r="AN181" s="16"/>
      <c r="AO181" s="15">
        <f t="shared" si="39"/>
        <v>0.55000000000000004</v>
      </c>
      <c r="AP181" s="15">
        <f t="shared" si="45"/>
        <v>14.2</v>
      </c>
      <c r="AQ181" s="3" t="e">
        <f t="shared" si="41"/>
        <v>#VALUE!</v>
      </c>
      <c r="AR181" s="15">
        <f t="shared" si="40"/>
        <v>0</v>
      </c>
      <c r="AS181" s="3">
        <f t="shared" si="42"/>
        <v>0</v>
      </c>
      <c r="AT181" s="3">
        <f t="shared" si="43"/>
        <v>0</v>
      </c>
      <c r="AU181" s="16" t="e">
        <f t="shared" si="44"/>
        <v>#VALUE!</v>
      </c>
      <c r="AW181" s="3">
        <f t="shared" si="35"/>
        <v>9150000</v>
      </c>
      <c r="AX181" s="3" t="e">
        <f t="shared" si="36"/>
        <v>#VALUE!</v>
      </c>
    </row>
    <row r="182" spans="1:50" ht="17" thickBot="1" x14ac:dyDescent="0.25">
      <c r="A182" s="5" t="s">
        <v>25</v>
      </c>
      <c r="B182" s="12" t="s">
        <v>26</v>
      </c>
      <c r="C182" s="12" t="s">
        <v>213</v>
      </c>
      <c r="D182" s="13" t="s">
        <v>35</v>
      </c>
      <c r="E182" s="14" t="s">
        <v>35</v>
      </c>
      <c r="F182" s="14" t="s">
        <v>35</v>
      </c>
      <c r="G182" s="14" t="s">
        <v>35</v>
      </c>
      <c r="H182" s="13" t="s">
        <v>35</v>
      </c>
      <c r="I182" s="14" t="s">
        <v>35</v>
      </c>
      <c r="J182" s="14" t="s">
        <v>35</v>
      </c>
      <c r="K182" s="14" t="s">
        <v>35</v>
      </c>
      <c r="L182" s="13" t="s">
        <v>35</v>
      </c>
      <c r="M182" s="14" t="s">
        <v>35</v>
      </c>
      <c r="N182" s="14" t="s">
        <v>35</v>
      </c>
      <c r="O182" s="14" t="s">
        <v>35</v>
      </c>
      <c r="P182" s="13">
        <v>1</v>
      </c>
      <c r="Q182" s="14">
        <v>9294.5785899999992</v>
      </c>
      <c r="R182" s="14">
        <v>475.24599999999998</v>
      </c>
      <c r="S182" s="14">
        <v>0</v>
      </c>
      <c r="AA182" s="15" t="str">
        <f t="shared" si="37"/>
        <v>-</v>
      </c>
      <c r="AG182" s="16"/>
      <c r="AH182" s="15" t="str">
        <f t="shared" si="38"/>
        <v>-</v>
      </c>
      <c r="AI182" s="15"/>
      <c r="AJ182" s="3"/>
      <c r="AK182" s="15"/>
      <c r="AL182" s="3"/>
      <c r="AM182" s="3"/>
      <c r="AN182" s="16"/>
      <c r="AO182" s="15">
        <f t="shared" si="39"/>
        <v>0.46666666666666679</v>
      </c>
      <c r="AP182" s="15">
        <f t="shared" si="45"/>
        <v>14.2</v>
      </c>
      <c r="AQ182" s="3" t="e">
        <f t="shared" si="41"/>
        <v>#VALUE!</v>
      </c>
      <c r="AR182" s="15">
        <f t="shared" si="40"/>
        <v>0</v>
      </c>
      <c r="AS182" s="3">
        <f t="shared" si="42"/>
        <v>0</v>
      </c>
      <c r="AT182" s="3">
        <f t="shared" si="43"/>
        <v>0</v>
      </c>
      <c r="AU182" s="16" t="e">
        <f t="shared" si="44"/>
        <v>#VALUE!</v>
      </c>
      <c r="AW182" s="3">
        <f t="shared" si="35"/>
        <v>9250000</v>
      </c>
      <c r="AX182" s="3" t="e">
        <f t="shared" si="36"/>
        <v>#VALUE!</v>
      </c>
    </row>
    <row r="183" spans="1:50" ht="17" thickBot="1" x14ac:dyDescent="0.25">
      <c r="A183" s="5" t="s">
        <v>25</v>
      </c>
      <c r="B183" s="12" t="s">
        <v>26</v>
      </c>
      <c r="C183" s="12" t="s">
        <v>214</v>
      </c>
      <c r="D183" s="13" t="s">
        <v>35</v>
      </c>
      <c r="E183" s="14" t="s">
        <v>35</v>
      </c>
      <c r="F183" s="14" t="s">
        <v>35</v>
      </c>
      <c r="G183" s="14" t="s">
        <v>35</v>
      </c>
      <c r="H183" s="13" t="s">
        <v>35</v>
      </c>
      <c r="I183" s="14" t="s">
        <v>35</v>
      </c>
      <c r="J183" s="14" t="s">
        <v>35</v>
      </c>
      <c r="K183" s="14" t="s">
        <v>35</v>
      </c>
      <c r="L183" s="13" t="s">
        <v>35</v>
      </c>
      <c r="M183" s="14" t="s">
        <v>35</v>
      </c>
      <c r="N183" s="14" t="s">
        <v>35</v>
      </c>
      <c r="O183" s="14" t="s">
        <v>35</v>
      </c>
      <c r="P183" s="13">
        <v>1</v>
      </c>
      <c r="Q183" s="14">
        <v>9314.1227400000007</v>
      </c>
      <c r="R183" s="14">
        <v>482.91300000000001</v>
      </c>
      <c r="S183" s="14">
        <v>0</v>
      </c>
      <c r="AA183" s="15" t="str">
        <f t="shared" si="37"/>
        <v>-</v>
      </c>
      <c r="AG183" s="16"/>
      <c r="AH183" s="15" t="str">
        <f t="shared" si="38"/>
        <v>-</v>
      </c>
      <c r="AI183" s="15"/>
      <c r="AJ183" s="3"/>
      <c r="AK183" s="15"/>
      <c r="AL183" s="3"/>
      <c r="AM183" s="3"/>
      <c r="AN183" s="16"/>
      <c r="AO183" s="15">
        <f t="shared" si="39"/>
        <v>-0.10000000000000009</v>
      </c>
      <c r="AP183" s="15">
        <f t="shared" si="45"/>
        <v>14.2</v>
      </c>
      <c r="AQ183" s="3" t="e">
        <f t="shared" si="41"/>
        <v>#VALUE!</v>
      </c>
      <c r="AR183" s="15">
        <f t="shared" si="40"/>
        <v>0</v>
      </c>
      <c r="AS183" s="3">
        <f t="shared" si="42"/>
        <v>0</v>
      </c>
      <c r="AT183" s="3">
        <f t="shared" si="43"/>
        <v>0</v>
      </c>
      <c r="AU183" s="16" t="e">
        <f t="shared" si="44"/>
        <v>#VALUE!</v>
      </c>
      <c r="AW183" s="3">
        <f t="shared" si="35"/>
        <v>9300000</v>
      </c>
      <c r="AX183" s="3" t="e">
        <f t="shared" si="36"/>
        <v>#VALUE!</v>
      </c>
    </row>
    <row r="184" spans="1:50" ht="17" thickBot="1" x14ac:dyDescent="0.25">
      <c r="A184" s="5" t="s">
        <v>25</v>
      </c>
      <c r="B184" s="12" t="s">
        <v>26</v>
      </c>
      <c r="C184" s="12" t="s">
        <v>215</v>
      </c>
      <c r="D184" s="13" t="s">
        <v>35</v>
      </c>
      <c r="E184" s="14" t="s">
        <v>35</v>
      </c>
      <c r="F184" s="14" t="s">
        <v>35</v>
      </c>
      <c r="G184" s="14" t="s">
        <v>35</v>
      </c>
      <c r="H184" s="13" t="s">
        <v>35</v>
      </c>
      <c r="I184" s="14" t="s">
        <v>35</v>
      </c>
      <c r="J184" s="14" t="s">
        <v>35</v>
      </c>
      <c r="K184" s="14" t="s">
        <v>35</v>
      </c>
      <c r="L184" s="13" t="s">
        <v>35</v>
      </c>
      <c r="M184" s="14" t="s">
        <v>35</v>
      </c>
      <c r="N184" s="14" t="s">
        <v>35</v>
      </c>
      <c r="O184" s="14" t="s">
        <v>35</v>
      </c>
      <c r="P184" s="13">
        <v>1</v>
      </c>
      <c r="Q184" s="14">
        <v>9458.51</v>
      </c>
      <c r="R184" s="14">
        <v>600.29999999999995</v>
      </c>
      <c r="S184" s="14">
        <v>0</v>
      </c>
      <c r="AA184" s="15" t="str">
        <f t="shared" si="37"/>
        <v>-</v>
      </c>
      <c r="AG184" s="16"/>
      <c r="AH184" s="15" t="str">
        <f t="shared" si="38"/>
        <v>-</v>
      </c>
      <c r="AI184" s="15"/>
      <c r="AJ184" s="3"/>
      <c r="AK184" s="15"/>
      <c r="AL184" s="3"/>
      <c r="AM184" s="3"/>
      <c r="AN184" s="16"/>
      <c r="AO184" s="15">
        <f t="shared" si="39"/>
        <v>-0.60000000000000009</v>
      </c>
      <c r="AP184" s="15">
        <f t="shared" si="45"/>
        <v>14.2</v>
      </c>
      <c r="AQ184" s="3" t="e">
        <f t="shared" si="41"/>
        <v>#VALUE!</v>
      </c>
      <c r="AR184" s="15" t="e">
        <f t="shared" si="40"/>
        <v>#VALUE!</v>
      </c>
      <c r="AS184" s="3" t="e">
        <f>IF(AR184=0,0,Q184)</f>
        <v>#VALUE!</v>
      </c>
      <c r="AT184" s="3" t="e">
        <f t="shared" si="43"/>
        <v>#VALUE!</v>
      </c>
      <c r="AU184" s="16" t="e">
        <f t="shared" si="44"/>
        <v>#VALUE!</v>
      </c>
      <c r="AW184" s="3">
        <f t="shared" si="35"/>
        <v>9450000</v>
      </c>
      <c r="AX184" s="3" t="e">
        <f t="shared" si="36"/>
        <v>#VALUE!</v>
      </c>
    </row>
    <row r="185" spans="1:50" ht="17" thickBot="1" x14ac:dyDescent="0.25">
      <c r="A185" s="5" t="s">
        <v>25</v>
      </c>
      <c r="B185" s="12" t="s">
        <v>26</v>
      </c>
      <c r="C185" s="12" t="s">
        <v>216</v>
      </c>
      <c r="D185" s="13" t="s">
        <v>35</v>
      </c>
      <c r="E185" s="14" t="s">
        <v>35</v>
      </c>
      <c r="F185" s="14" t="s">
        <v>35</v>
      </c>
      <c r="G185" s="14" t="s">
        <v>35</v>
      </c>
      <c r="H185" s="13" t="s">
        <v>35</v>
      </c>
      <c r="I185" s="14" t="s">
        <v>35</v>
      </c>
      <c r="J185" s="14" t="s">
        <v>35</v>
      </c>
      <c r="K185" s="14" t="s">
        <v>35</v>
      </c>
      <c r="L185" s="13" t="s">
        <v>35</v>
      </c>
      <c r="M185" s="14" t="s">
        <v>35</v>
      </c>
      <c r="N185" s="14" t="s">
        <v>35</v>
      </c>
      <c r="O185" s="14" t="s">
        <v>35</v>
      </c>
      <c r="P185" s="13">
        <v>2</v>
      </c>
      <c r="Q185" s="14">
        <v>19064.403030000001</v>
      </c>
      <c r="R185" s="14">
        <v>924.25385000000006</v>
      </c>
      <c r="S185" s="14">
        <v>0</v>
      </c>
      <c r="AA185" s="15" t="str">
        <f t="shared" si="37"/>
        <v>-</v>
      </c>
      <c r="AG185" s="16"/>
      <c r="AH185" s="15" t="str">
        <f t="shared" si="38"/>
        <v>-</v>
      </c>
      <c r="AI185" s="15"/>
      <c r="AJ185" s="3"/>
      <c r="AK185" s="15"/>
      <c r="AL185" s="3"/>
      <c r="AM185" s="3"/>
      <c r="AN185" s="16"/>
      <c r="AO185" s="15"/>
      <c r="AP185" s="15"/>
      <c r="AQ185" s="3"/>
      <c r="AR185" s="15"/>
      <c r="AS185" s="3"/>
      <c r="AT185" s="3"/>
      <c r="AU185" s="16"/>
      <c r="AW185" s="3">
        <f t="shared" si="35"/>
        <v>9500000</v>
      </c>
      <c r="AX185" s="3" t="e">
        <f t="shared" si="36"/>
        <v>#VALUE!</v>
      </c>
    </row>
    <row r="186" spans="1:50" ht="17" thickBot="1" x14ac:dyDescent="0.25">
      <c r="A186" s="5" t="s">
        <v>25</v>
      </c>
      <c r="B186" s="12" t="s">
        <v>26</v>
      </c>
      <c r="C186" s="12" t="s">
        <v>217</v>
      </c>
      <c r="D186" s="13" t="s">
        <v>35</v>
      </c>
      <c r="E186" s="14" t="s">
        <v>35</v>
      </c>
      <c r="F186" s="14" t="s">
        <v>35</v>
      </c>
      <c r="G186" s="14" t="s">
        <v>35</v>
      </c>
      <c r="H186" s="13">
        <v>1</v>
      </c>
      <c r="I186" s="14">
        <v>9627.0287900000003</v>
      </c>
      <c r="J186" s="14">
        <v>8.52</v>
      </c>
      <c r="K186" s="14">
        <v>0</v>
      </c>
      <c r="L186" s="13" t="s">
        <v>35</v>
      </c>
      <c r="M186" s="14" t="s">
        <v>35</v>
      </c>
      <c r="N186" s="14" t="s">
        <v>35</v>
      </c>
      <c r="O186" s="14" t="s">
        <v>35</v>
      </c>
      <c r="P186" s="13" t="s">
        <v>35</v>
      </c>
      <c r="Q186" s="14" t="s">
        <v>35</v>
      </c>
      <c r="R186" s="14" t="s">
        <v>35</v>
      </c>
      <c r="S186" s="14" t="s">
        <v>35</v>
      </c>
      <c r="AA186" s="15" t="str">
        <f t="shared" si="37"/>
        <v>-</v>
      </c>
      <c r="AG186" s="16"/>
      <c r="AH186" s="15" t="str">
        <f t="shared" si="38"/>
        <v>-</v>
      </c>
      <c r="AI186" s="15"/>
      <c r="AJ186" s="3"/>
      <c r="AK186" s="15"/>
      <c r="AL186" s="3"/>
      <c r="AM186" s="3"/>
      <c r="AN186" s="16"/>
      <c r="AO186" s="15"/>
      <c r="AP186" s="15"/>
      <c r="AQ186" s="3"/>
      <c r="AR186" s="15"/>
      <c r="AS186" s="3"/>
      <c r="AT186" s="3"/>
      <c r="AU186" s="16"/>
      <c r="AW186" s="3">
        <f t="shared" si="35"/>
        <v>9600000</v>
      </c>
      <c r="AX186" s="3" t="e">
        <f t="shared" si="36"/>
        <v>#VALUE!</v>
      </c>
    </row>
    <row r="187" spans="1:50" ht="17" thickBot="1" x14ac:dyDescent="0.25">
      <c r="A187" s="5" t="s">
        <v>25</v>
      </c>
      <c r="B187" s="12" t="s">
        <v>26</v>
      </c>
      <c r="C187" s="12" t="s">
        <v>218</v>
      </c>
      <c r="D187" s="13" t="s">
        <v>35</v>
      </c>
      <c r="E187" s="14" t="s">
        <v>35</v>
      </c>
      <c r="F187" s="14" t="s">
        <v>35</v>
      </c>
      <c r="G187" s="14" t="s">
        <v>35</v>
      </c>
      <c r="H187" s="13">
        <v>1</v>
      </c>
      <c r="I187" s="14">
        <v>9690.8417200000004</v>
      </c>
      <c r="J187" s="14">
        <v>18.38</v>
      </c>
      <c r="K187" s="14">
        <v>0</v>
      </c>
      <c r="L187" s="13" t="s">
        <v>35</v>
      </c>
      <c r="M187" s="14" t="s">
        <v>35</v>
      </c>
      <c r="N187" s="14" t="s">
        <v>35</v>
      </c>
      <c r="O187" s="14" t="s">
        <v>35</v>
      </c>
      <c r="P187" s="13" t="s">
        <v>35</v>
      </c>
      <c r="Q187" s="14" t="s">
        <v>35</v>
      </c>
      <c r="R187" s="14" t="s">
        <v>35</v>
      </c>
      <c r="S187" s="14" t="s">
        <v>35</v>
      </c>
      <c r="AA187" s="15" t="str">
        <f t="shared" si="37"/>
        <v>-</v>
      </c>
      <c r="AG187" s="16"/>
      <c r="AH187" s="15" t="str">
        <f t="shared" si="38"/>
        <v>-</v>
      </c>
      <c r="AI187" s="15"/>
      <c r="AJ187" s="3"/>
      <c r="AK187" s="15"/>
      <c r="AL187" s="3"/>
      <c r="AM187" s="3"/>
      <c r="AN187" s="16"/>
      <c r="AO187" s="15"/>
      <c r="AP187" s="15"/>
      <c r="AQ187" s="3"/>
      <c r="AR187" s="15"/>
      <c r="AS187" s="3"/>
      <c r="AT187" s="3"/>
      <c r="AU187" s="16"/>
      <c r="AW187" s="3">
        <f t="shared" si="35"/>
        <v>9650000</v>
      </c>
      <c r="AX187" s="3" t="e">
        <f t="shared" si="36"/>
        <v>#VALUE!</v>
      </c>
    </row>
    <row r="188" spans="1:50" ht="17" thickBot="1" x14ac:dyDescent="0.25">
      <c r="A188" s="5" t="s">
        <v>25</v>
      </c>
      <c r="B188" s="12" t="s">
        <v>26</v>
      </c>
      <c r="C188" s="12" t="s">
        <v>219</v>
      </c>
      <c r="D188" s="13" t="s">
        <v>35</v>
      </c>
      <c r="E188" s="14" t="s">
        <v>35</v>
      </c>
      <c r="F188" s="14" t="s">
        <v>35</v>
      </c>
      <c r="G188" s="14" t="s">
        <v>35</v>
      </c>
      <c r="H188" s="13">
        <v>1</v>
      </c>
      <c r="I188" s="14">
        <v>9801.6270000000004</v>
      </c>
      <c r="J188" s="14">
        <v>2.84</v>
      </c>
      <c r="K188" s="14">
        <v>0</v>
      </c>
      <c r="L188" s="13" t="s">
        <v>35</v>
      </c>
      <c r="M188" s="14" t="s">
        <v>35</v>
      </c>
      <c r="N188" s="14" t="s">
        <v>35</v>
      </c>
      <c r="O188" s="14" t="s">
        <v>35</v>
      </c>
      <c r="P188" s="13" t="s">
        <v>35</v>
      </c>
      <c r="Q188" s="14" t="s">
        <v>35</v>
      </c>
      <c r="R188" s="14" t="s">
        <v>35</v>
      </c>
      <c r="S188" s="14" t="s">
        <v>35</v>
      </c>
      <c r="AA188" s="15" t="str">
        <f t="shared" si="37"/>
        <v>-</v>
      </c>
      <c r="AG188" s="16"/>
      <c r="AH188" s="15" t="str">
        <f t="shared" si="38"/>
        <v>-</v>
      </c>
      <c r="AI188" s="15"/>
      <c r="AJ188" s="3"/>
      <c r="AK188" s="15"/>
      <c r="AL188" s="3"/>
      <c r="AM188" s="3"/>
      <c r="AN188" s="16"/>
      <c r="AO188" s="15"/>
      <c r="AP188" s="15"/>
      <c r="AQ188" s="3"/>
      <c r="AR188" s="15"/>
      <c r="AS188" s="3"/>
      <c r="AT188" s="3"/>
      <c r="AU188" s="16"/>
      <c r="AW188" s="3">
        <f t="shared" si="35"/>
        <v>9800000</v>
      </c>
      <c r="AX188" s="3" t="e">
        <f t="shared" si="36"/>
        <v>#VALUE!</v>
      </c>
    </row>
    <row r="189" spans="1:50" ht="17" thickBot="1" x14ac:dyDescent="0.25">
      <c r="A189" s="5" t="s">
        <v>25</v>
      </c>
      <c r="B189" s="12" t="s">
        <v>26</v>
      </c>
      <c r="C189" s="12" t="s">
        <v>220</v>
      </c>
      <c r="D189" s="13" t="s">
        <v>35</v>
      </c>
      <c r="E189" s="14" t="s">
        <v>35</v>
      </c>
      <c r="F189" s="14" t="s">
        <v>35</v>
      </c>
      <c r="G189" s="14" t="s">
        <v>35</v>
      </c>
      <c r="H189" s="13">
        <v>1</v>
      </c>
      <c r="I189" s="14">
        <v>9936.6422199999997</v>
      </c>
      <c r="J189" s="14">
        <v>11.076000000000001</v>
      </c>
      <c r="K189" s="14">
        <v>0</v>
      </c>
      <c r="L189" s="13" t="s">
        <v>35</v>
      </c>
      <c r="M189" s="14" t="s">
        <v>35</v>
      </c>
      <c r="N189" s="14" t="s">
        <v>35</v>
      </c>
      <c r="O189" s="14" t="s">
        <v>35</v>
      </c>
      <c r="P189" s="13" t="s">
        <v>35</v>
      </c>
      <c r="Q189" s="14" t="s">
        <v>35</v>
      </c>
      <c r="R189" s="14" t="s">
        <v>35</v>
      </c>
      <c r="S189" s="14" t="s">
        <v>35</v>
      </c>
      <c r="AA189" s="15" t="str">
        <f t="shared" si="37"/>
        <v>-</v>
      </c>
      <c r="AG189" s="16"/>
      <c r="AH189" s="15" t="str">
        <f t="shared" si="38"/>
        <v>-</v>
      </c>
      <c r="AI189" s="15"/>
      <c r="AJ189" s="3"/>
      <c r="AK189" s="15"/>
      <c r="AL189" s="3"/>
      <c r="AM189" s="3"/>
      <c r="AN189" s="16"/>
      <c r="AO189" s="15"/>
      <c r="AP189" s="15"/>
      <c r="AQ189" s="3"/>
      <c r="AR189" s="15"/>
      <c r="AS189" s="3"/>
      <c r="AT189" s="3"/>
      <c r="AU189" s="16"/>
      <c r="AW189" s="3">
        <f t="shared" si="35"/>
        <v>9900000</v>
      </c>
      <c r="AX189" s="3" t="e">
        <f t="shared" si="36"/>
        <v>#VALUE!</v>
      </c>
    </row>
    <row r="190" spans="1:50" ht="17" thickBot="1" x14ac:dyDescent="0.25">
      <c r="A190" s="5" t="s">
        <v>25</v>
      </c>
      <c r="B190" s="12" t="s">
        <v>26</v>
      </c>
      <c r="C190" s="12" t="s">
        <v>221</v>
      </c>
      <c r="D190" s="13" t="s">
        <v>35</v>
      </c>
      <c r="E190" s="14" t="s">
        <v>35</v>
      </c>
      <c r="F190" s="14" t="s">
        <v>35</v>
      </c>
      <c r="G190" s="14" t="s">
        <v>35</v>
      </c>
      <c r="H190" s="13">
        <v>1</v>
      </c>
      <c r="I190" s="14">
        <v>10121.833350000001</v>
      </c>
      <c r="J190" s="14">
        <v>20.55294</v>
      </c>
      <c r="K190" s="14">
        <v>0</v>
      </c>
      <c r="L190" s="13" t="s">
        <v>35</v>
      </c>
      <c r="M190" s="14" t="s">
        <v>35</v>
      </c>
      <c r="N190" s="14" t="s">
        <v>35</v>
      </c>
      <c r="O190" s="14" t="s">
        <v>35</v>
      </c>
      <c r="P190" s="13" t="s">
        <v>35</v>
      </c>
      <c r="Q190" s="14" t="s">
        <v>35</v>
      </c>
      <c r="R190" s="14" t="s">
        <v>35</v>
      </c>
      <c r="S190" s="14" t="s">
        <v>35</v>
      </c>
      <c r="AA190" s="15" t="str">
        <f t="shared" si="37"/>
        <v>-</v>
      </c>
      <c r="AG190" s="16"/>
      <c r="AH190" s="15" t="str">
        <f t="shared" si="38"/>
        <v>-</v>
      </c>
      <c r="AN190" s="16"/>
      <c r="AO190" s="15"/>
      <c r="AP190" s="15"/>
      <c r="AQ190" s="3"/>
      <c r="AR190" s="15"/>
      <c r="AS190" s="3"/>
      <c r="AT190" s="3"/>
      <c r="AU190" s="16"/>
      <c r="AW190" s="3">
        <f t="shared" si="35"/>
        <v>10100000</v>
      </c>
      <c r="AX190" s="3" t="e">
        <f t="shared" si="36"/>
        <v>#VALUE!</v>
      </c>
    </row>
    <row r="191" spans="1:50" ht="17" thickBot="1" x14ac:dyDescent="0.25">
      <c r="A191" s="5" t="s">
        <v>25</v>
      </c>
      <c r="B191" s="12" t="s">
        <v>26</v>
      </c>
      <c r="C191" s="12" t="s">
        <v>222</v>
      </c>
      <c r="D191" s="13" t="s">
        <v>35</v>
      </c>
      <c r="E191" s="14" t="s">
        <v>35</v>
      </c>
      <c r="F191" s="14" t="s">
        <v>35</v>
      </c>
      <c r="G191" s="14" t="s">
        <v>35</v>
      </c>
      <c r="H191" s="13">
        <v>1</v>
      </c>
      <c r="I191" s="14">
        <v>10231.149600000001</v>
      </c>
      <c r="J191" s="14">
        <v>659.38243999999997</v>
      </c>
      <c r="K191" s="14">
        <v>0</v>
      </c>
      <c r="L191" s="13" t="s">
        <v>35</v>
      </c>
      <c r="M191" s="14" t="s">
        <v>35</v>
      </c>
      <c r="N191" s="14" t="s">
        <v>35</v>
      </c>
      <c r="O191" s="14" t="s">
        <v>35</v>
      </c>
      <c r="P191" s="13" t="s">
        <v>35</v>
      </c>
      <c r="Q191" s="14" t="s">
        <v>35</v>
      </c>
      <c r="R191" s="14" t="s">
        <v>35</v>
      </c>
      <c r="S191" s="14" t="s">
        <v>35</v>
      </c>
      <c r="AA191" s="15" t="str">
        <f t="shared" si="37"/>
        <v>-</v>
      </c>
      <c r="AG191" s="16"/>
      <c r="AH191" s="15" t="str">
        <f t="shared" si="38"/>
        <v>-</v>
      </c>
      <c r="AO191" s="15"/>
      <c r="AW191" s="3">
        <f t="shared" si="35"/>
        <v>10200000</v>
      </c>
      <c r="AX191" s="3" t="e">
        <f t="shared" si="36"/>
        <v>#VALUE!</v>
      </c>
    </row>
    <row r="192" spans="1:50" ht="17" thickBot="1" x14ac:dyDescent="0.25">
      <c r="A192" s="5" t="s">
        <v>25</v>
      </c>
      <c r="B192" s="12" t="s">
        <v>26</v>
      </c>
      <c r="C192" s="12" t="s">
        <v>223</v>
      </c>
      <c r="D192" s="13" t="s">
        <v>35</v>
      </c>
      <c r="E192" s="14" t="s">
        <v>35</v>
      </c>
      <c r="F192" s="14" t="s">
        <v>35</v>
      </c>
      <c r="G192" s="14" t="s">
        <v>35</v>
      </c>
      <c r="H192" s="13">
        <v>1</v>
      </c>
      <c r="I192" s="14">
        <v>11800.044</v>
      </c>
      <c r="J192" s="14">
        <v>18.46</v>
      </c>
      <c r="K192" s="14">
        <v>0</v>
      </c>
      <c r="L192" s="13" t="s">
        <v>35</v>
      </c>
      <c r="M192" s="14" t="s">
        <v>35</v>
      </c>
      <c r="N192" s="14" t="s">
        <v>35</v>
      </c>
      <c r="O192" s="14" t="s">
        <v>35</v>
      </c>
      <c r="P192" s="13" t="s">
        <v>35</v>
      </c>
      <c r="Q192" s="14" t="s">
        <v>35</v>
      </c>
      <c r="R192" s="14" t="s">
        <v>35</v>
      </c>
      <c r="S192" s="14" t="s">
        <v>35</v>
      </c>
      <c r="AA192" s="15" t="str">
        <f t="shared" si="37"/>
        <v>-</v>
      </c>
      <c r="AG192" s="16"/>
      <c r="AH192" s="15" t="str">
        <f t="shared" si="38"/>
        <v>-</v>
      </c>
      <c r="AO192" s="15"/>
      <c r="AW192" s="3">
        <f t="shared" si="35"/>
        <v>11800000</v>
      </c>
      <c r="AX192" s="3" t="e">
        <f t="shared" si="36"/>
        <v>#VALUE!</v>
      </c>
    </row>
    <row r="193" spans="1:50" ht="17" thickBot="1" x14ac:dyDescent="0.25">
      <c r="A193" s="5" t="s">
        <v>25</v>
      </c>
      <c r="B193" s="12" t="s">
        <v>26</v>
      </c>
      <c r="C193" s="12" t="s">
        <v>224</v>
      </c>
      <c r="D193" s="13" t="s">
        <v>35</v>
      </c>
      <c r="E193" s="14" t="s">
        <v>35</v>
      </c>
      <c r="F193" s="14" t="s">
        <v>35</v>
      </c>
      <c r="G193" s="14" t="s">
        <v>35</v>
      </c>
      <c r="H193" s="13">
        <v>1</v>
      </c>
      <c r="I193" s="14">
        <v>12501.1317</v>
      </c>
      <c r="J193" s="14">
        <v>19.6173</v>
      </c>
      <c r="K193" s="14">
        <v>0</v>
      </c>
      <c r="L193" s="13" t="s">
        <v>35</v>
      </c>
      <c r="M193" s="14" t="s">
        <v>35</v>
      </c>
      <c r="N193" s="14" t="s">
        <v>35</v>
      </c>
      <c r="O193" s="14" t="s">
        <v>35</v>
      </c>
      <c r="P193" s="13" t="s">
        <v>35</v>
      </c>
      <c r="Q193" s="14" t="s">
        <v>35</v>
      </c>
      <c r="R193" s="14" t="s">
        <v>35</v>
      </c>
      <c r="S193" s="14" t="s">
        <v>35</v>
      </c>
      <c r="AA193" s="15" t="str">
        <f t="shared" si="37"/>
        <v>-</v>
      </c>
      <c r="AG193" s="16"/>
      <c r="AH193" s="15" t="str">
        <f t="shared" si="38"/>
        <v>-</v>
      </c>
      <c r="AW193" s="3">
        <f t="shared" si="35"/>
        <v>12500000</v>
      </c>
      <c r="AX193" s="3" t="e">
        <f t="shared" si="36"/>
        <v>#VALUE!</v>
      </c>
    </row>
    <row r="194" spans="1:50" ht="17" thickBot="1" x14ac:dyDescent="0.25">
      <c r="A194" s="5" t="s">
        <v>25</v>
      </c>
      <c r="B194" s="12" t="s">
        <v>26</v>
      </c>
      <c r="C194" s="12" t="s">
        <v>225</v>
      </c>
      <c r="D194" s="13" t="s">
        <v>35</v>
      </c>
      <c r="E194" s="14" t="s">
        <v>35</v>
      </c>
      <c r="F194" s="14" t="s">
        <v>35</v>
      </c>
      <c r="G194" s="14" t="s">
        <v>35</v>
      </c>
      <c r="H194" s="13">
        <v>1</v>
      </c>
      <c r="I194" s="14">
        <v>13738.85974</v>
      </c>
      <c r="J194" s="14">
        <v>18.446000000000002</v>
      </c>
      <c r="K194" s="14">
        <v>0</v>
      </c>
      <c r="L194" s="13" t="s">
        <v>35</v>
      </c>
      <c r="M194" s="14" t="s">
        <v>35</v>
      </c>
      <c r="N194" s="14" t="s">
        <v>35</v>
      </c>
      <c r="O194" s="14" t="s">
        <v>35</v>
      </c>
      <c r="P194" s="13" t="s">
        <v>35</v>
      </c>
      <c r="Q194" s="14" t="s">
        <v>35</v>
      </c>
      <c r="R194" s="14" t="s">
        <v>35</v>
      </c>
      <c r="S194" s="14" t="s">
        <v>35</v>
      </c>
      <c r="AA194" s="15" t="str">
        <f t="shared" si="37"/>
        <v>-</v>
      </c>
      <c r="AG194" s="16"/>
      <c r="AH194" s="15"/>
      <c r="AW194" s="3">
        <f t="shared" si="35"/>
        <v>13700000</v>
      </c>
      <c r="AX194" s="3" t="e">
        <f t="shared" si="36"/>
        <v>#VALUE!</v>
      </c>
    </row>
    <row r="195" spans="1:50" ht="17" thickBot="1" x14ac:dyDescent="0.25">
      <c r="A195" s="5" t="s">
        <v>25</v>
      </c>
      <c r="B195" s="12" t="s">
        <v>26</v>
      </c>
      <c r="C195" s="12" t="s">
        <v>226</v>
      </c>
      <c r="D195" s="13" t="s">
        <v>35</v>
      </c>
      <c r="E195" s="14" t="s">
        <v>35</v>
      </c>
      <c r="F195" s="14" t="s">
        <v>35</v>
      </c>
      <c r="G195" s="14" t="s">
        <v>35</v>
      </c>
      <c r="H195" s="13" t="s">
        <v>35</v>
      </c>
      <c r="I195" s="14" t="s">
        <v>35</v>
      </c>
      <c r="J195" s="14" t="s">
        <v>35</v>
      </c>
      <c r="K195" s="14" t="s">
        <v>35</v>
      </c>
      <c r="L195" s="13" t="s">
        <v>35</v>
      </c>
      <c r="M195" s="14" t="s">
        <v>35</v>
      </c>
      <c r="N195" s="14" t="s">
        <v>35</v>
      </c>
      <c r="O195" s="14" t="s">
        <v>35</v>
      </c>
      <c r="P195" s="13">
        <v>1</v>
      </c>
      <c r="Q195" s="14">
        <v>14276.709629999999</v>
      </c>
      <c r="R195" s="14">
        <v>166.36535000000001</v>
      </c>
      <c r="S195" s="14">
        <v>0</v>
      </c>
      <c r="AA195" s="15" t="str">
        <f t="shared" si="37"/>
        <v>-</v>
      </c>
      <c r="AG195" s="16"/>
      <c r="AW195" s="3">
        <f t="shared" si="35"/>
        <v>14250000</v>
      </c>
      <c r="AX195" s="3" t="e">
        <f t="shared" si="36"/>
        <v>#VALUE!</v>
      </c>
    </row>
    <row r="196" spans="1:50" ht="17" thickBot="1" x14ac:dyDescent="0.25">
      <c r="A196" s="5" t="s">
        <v>25</v>
      </c>
      <c r="B196" s="12" t="s">
        <v>26</v>
      </c>
      <c r="C196" s="12" t="s">
        <v>227</v>
      </c>
      <c r="D196" s="13" t="s">
        <v>35</v>
      </c>
      <c r="E196" s="14" t="s">
        <v>35</v>
      </c>
      <c r="F196" s="14" t="s">
        <v>35</v>
      </c>
      <c r="G196" s="14" t="s">
        <v>35</v>
      </c>
      <c r="H196" s="13" t="s">
        <v>35</v>
      </c>
      <c r="I196" s="14" t="s">
        <v>35</v>
      </c>
      <c r="J196" s="14" t="s">
        <v>35</v>
      </c>
      <c r="K196" s="14" t="s">
        <v>35</v>
      </c>
      <c r="L196" s="13" t="s">
        <v>35</v>
      </c>
      <c r="M196" s="14" t="s">
        <v>35</v>
      </c>
      <c r="N196" s="14" t="s">
        <v>35</v>
      </c>
      <c r="O196" s="14" t="s">
        <v>35</v>
      </c>
      <c r="P196" s="13">
        <v>1</v>
      </c>
      <c r="Q196" s="14">
        <v>14439.78003</v>
      </c>
      <c r="R196" s="14">
        <v>764.39215999999999</v>
      </c>
      <c r="S196" s="14">
        <v>0</v>
      </c>
      <c r="AA196" s="15" t="str">
        <f t="shared" si="37"/>
        <v>-</v>
      </c>
      <c r="AG196" s="16"/>
      <c r="AW196" s="3">
        <f t="shared" si="35"/>
        <v>14400000</v>
      </c>
      <c r="AX196" s="3" t="e">
        <f t="shared" si="36"/>
        <v>#VALUE!</v>
      </c>
    </row>
    <row r="197" spans="1:50" ht="17" thickBot="1" x14ac:dyDescent="0.25">
      <c r="A197" s="5" t="s">
        <v>25</v>
      </c>
      <c r="B197" s="12" t="s">
        <v>26</v>
      </c>
      <c r="C197" s="12" t="s">
        <v>228</v>
      </c>
      <c r="D197" s="13" t="s">
        <v>35</v>
      </c>
      <c r="E197" s="14" t="s">
        <v>35</v>
      </c>
      <c r="F197" s="14" t="s">
        <v>35</v>
      </c>
      <c r="G197" s="14" t="s">
        <v>35</v>
      </c>
      <c r="H197" s="13" t="s">
        <v>35</v>
      </c>
      <c r="I197" s="14" t="s">
        <v>35</v>
      </c>
      <c r="J197" s="14" t="s">
        <v>35</v>
      </c>
      <c r="K197" s="14" t="s">
        <v>35</v>
      </c>
      <c r="L197" s="13" t="s">
        <v>35</v>
      </c>
      <c r="M197" s="14" t="s">
        <v>35</v>
      </c>
      <c r="N197" s="14" t="s">
        <v>35</v>
      </c>
      <c r="O197" s="14" t="s">
        <v>35</v>
      </c>
      <c r="P197" s="13">
        <v>1</v>
      </c>
      <c r="Q197" s="14">
        <v>14756.72874</v>
      </c>
      <c r="R197" s="14">
        <v>714.22981000000004</v>
      </c>
      <c r="S197" s="14">
        <v>0</v>
      </c>
      <c r="AA197" s="15" t="str">
        <f t="shared" si="37"/>
        <v>-</v>
      </c>
      <c r="AG197" s="16"/>
      <c r="AW197" s="3">
        <f t="shared" ref="AW197" si="46">--MID(C197,FIND("від",C197)+4,FIND("грн",C197,FIND("від",C197))-FIND("від",C197)-4)</f>
        <v>14750000</v>
      </c>
      <c r="AX197" s="3" t="e">
        <f t="shared" ref="AX197" si="47">--MID(C197,FIND("до",C197)+3,FIND("грн",C197,FIND("до",C197))-FIND("до",C197)-3)</f>
        <v>#VALUE!</v>
      </c>
    </row>
    <row r="198" spans="1:50" x14ac:dyDescent="0.2">
      <c r="AA198" s="15" t="str">
        <f t="shared" si="37"/>
        <v>-</v>
      </c>
      <c r="AG198" s="16"/>
      <c r="AW198" s="3"/>
      <c r="AX198" s="3"/>
    </row>
    <row r="199" spans="1:50" x14ac:dyDescent="0.2">
      <c r="AA199" s="15" t="str">
        <f t="shared" si="37"/>
        <v>-</v>
      </c>
      <c r="AG199" s="16"/>
      <c r="AW199" s="3"/>
      <c r="AX199" s="3"/>
    </row>
    <row r="200" spans="1:50" x14ac:dyDescent="0.2">
      <c r="AA200" s="15" t="str">
        <f t="shared" si="37"/>
        <v>-</v>
      </c>
      <c r="AG200" s="16"/>
      <c r="AW200" s="3"/>
      <c r="AX200" s="3"/>
    </row>
    <row r="201" spans="1:50" x14ac:dyDescent="0.2">
      <c r="AA201" s="15" t="str">
        <f t="shared" si="37"/>
        <v>-</v>
      </c>
      <c r="AG201" s="16"/>
      <c r="AW201" s="3"/>
      <c r="AX201" s="3"/>
    </row>
    <row r="202" spans="1:50" x14ac:dyDescent="0.2">
      <c r="AA202" s="15" t="str">
        <f t="shared" ref="AA202:AA230" si="48">IFERROR(AVERAGE(D198:D202)-AVERAGE(D203:D207),"-")</f>
        <v>-</v>
      </c>
      <c r="AG202" s="16"/>
      <c r="AW202" s="3"/>
      <c r="AX202" s="3"/>
    </row>
    <row r="203" spans="1:50" x14ac:dyDescent="0.2">
      <c r="AA203" s="15" t="str">
        <f t="shared" si="48"/>
        <v>-</v>
      </c>
      <c r="AG203" s="16"/>
      <c r="AW203" s="3"/>
      <c r="AX203" s="3"/>
    </row>
    <row r="204" spans="1:50" x14ac:dyDescent="0.2">
      <c r="AA204" s="15" t="str">
        <f t="shared" si="48"/>
        <v>-</v>
      </c>
      <c r="AG204" s="16"/>
      <c r="AW204" s="3"/>
      <c r="AX204" s="3"/>
    </row>
    <row r="205" spans="1:50" x14ac:dyDescent="0.2">
      <c r="AA205" s="15" t="str">
        <f t="shared" si="48"/>
        <v>-</v>
      </c>
      <c r="AG205" s="16"/>
    </row>
    <row r="206" spans="1:50" x14ac:dyDescent="0.2">
      <c r="AA206" s="15" t="str">
        <f t="shared" si="48"/>
        <v>-</v>
      </c>
      <c r="AG206" s="16"/>
    </row>
    <row r="207" spans="1:50" x14ac:dyDescent="0.2">
      <c r="AA207" s="15" t="str">
        <f t="shared" si="48"/>
        <v>-</v>
      </c>
      <c r="AG207" s="16"/>
    </row>
    <row r="208" spans="1:50" x14ac:dyDescent="0.2">
      <c r="AA208" s="15" t="str">
        <f t="shared" si="48"/>
        <v>-</v>
      </c>
      <c r="AG208" s="16"/>
    </row>
    <row r="209" spans="27:33" x14ac:dyDescent="0.2">
      <c r="AA209" s="15" t="str">
        <f t="shared" si="48"/>
        <v>-</v>
      </c>
      <c r="AG209" s="16"/>
    </row>
    <row r="210" spans="27:33" x14ac:dyDescent="0.2">
      <c r="AA210" s="15" t="str">
        <f t="shared" si="48"/>
        <v>-</v>
      </c>
      <c r="AG210" s="16"/>
    </row>
    <row r="211" spans="27:33" x14ac:dyDescent="0.2">
      <c r="AA211" s="15" t="str">
        <f t="shared" si="48"/>
        <v>-</v>
      </c>
      <c r="AG211" s="16"/>
    </row>
    <row r="212" spans="27:33" x14ac:dyDescent="0.2">
      <c r="AA212" s="15" t="str">
        <f t="shared" si="48"/>
        <v>-</v>
      </c>
      <c r="AG212" s="16"/>
    </row>
    <row r="213" spans="27:33" x14ac:dyDescent="0.2">
      <c r="AA213" s="15" t="str">
        <f t="shared" si="48"/>
        <v>-</v>
      </c>
      <c r="AG213" s="16"/>
    </row>
    <row r="214" spans="27:33" x14ac:dyDescent="0.2">
      <c r="AA214" s="15" t="str">
        <f t="shared" si="48"/>
        <v>-</v>
      </c>
      <c r="AG214" s="16"/>
    </row>
    <row r="215" spans="27:33" x14ac:dyDescent="0.2">
      <c r="AA215" s="15" t="str">
        <f t="shared" si="48"/>
        <v>-</v>
      </c>
      <c r="AG215" s="16"/>
    </row>
    <row r="216" spans="27:33" x14ac:dyDescent="0.2">
      <c r="AA216" s="15" t="str">
        <f t="shared" si="48"/>
        <v>-</v>
      </c>
      <c r="AG216" s="16"/>
    </row>
    <row r="217" spans="27:33" x14ac:dyDescent="0.2">
      <c r="AA217" s="15" t="str">
        <f t="shared" si="48"/>
        <v>-</v>
      </c>
      <c r="AG217" s="16"/>
    </row>
    <row r="218" spans="27:33" x14ac:dyDescent="0.2">
      <c r="AA218" s="15" t="str">
        <f t="shared" si="48"/>
        <v>-</v>
      </c>
      <c r="AG218" s="16"/>
    </row>
    <row r="219" spans="27:33" x14ac:dyDescent="0.2">
      <c r="AA219" s="15" t="str">
        <f t="shared" si="48"/>
        <v>-</v>
      </c>
      <c r="AG219" s="16"/>
    </row>
    <row r="220" spans="27:33" x14ac:dyDescent="0.2">
      <c r="AA220" s="15" t="str">
        <f t="shared" si="48"/>
        <v>-</v>
      </c>
      <c r="AG220" s="16"/>
    </row>
    <row r="221" spans="27:33" x14ac:dyDescent="0.2">
      <c r="AA221" s="15" t="str">
        <f t="shared" si="48"/>
        <v>-</v>
      </c>
      <c r="AG221" s="16"/>
    </row>
    <row r="222" spans="27:33" x14ac:dyDescent="0.2">
      <c r="AA222" s="15" t="str">
        <f t="shared" si="48"/>
        <v>-</v>
      </c>
      <c r="AG222" s="16"/>
    </row>
    <row r="223" spans="27:33" x14ac:dyDescent="0.2">
      <c r="AA223" s="15" t="str">
        <f t="shared" si="48"/>
        <v>-</v>
      </c>
      <c r="AG223" s="16"/>
    </row>
    <row r="224" spans="27:33" x14ac:dyDescent="0.2">
      <c r="AA224" s="15" t="str">
        <f t="shared" si="48"/>
        <v>-</v>
      </c>
      <c r="AG224" s="16"/>
    </row>
    <row r="225" spans="27:33" x14ac:dyDescent="0.2">
      <c r="AA225" s="15" t="str">
        <f t="shared" si="48"/>
        <v>-</v>
      </c>
      <c r="AG225" s="16"/>
    </row>
    <row r="226" spans="27:33" x14ac:dyDescent="0.2">
      <c r="AA226" s="15" t="str">
        <f t="shared" si="48"/>
        <v>-</v>
      </c>
      <c r="AG226" s="16"/>
    </row>
    <row r="227" spans="27:33" x14ac:dyDescent="0.2">
      <c r="AA227" s="15" t="str">
        <f t="shared" si="48"/>
        <v>-</v>
      </c>
      <c r="AG227" s="16"/>
    </row>
    <row r="228" spans="27:33" x14ac:dyDescent="0.2">
      <c r="AA228" s="15" t="str">
        <f t="shared" si="48"/>
        <v>-</v>
      </c>
      <c r="AG228" s="16"/>
    </row>
    <row r="229" spans="27:33" x14ac:dyDescent="0.2">
      <c r="AA229" s="15" t="str">
        <f t="shared" si="48"/>
        <v>-</v>
      </c>
      <c r="AG229" s="16"/>
    </row>
    <row r="230" spans="27:33" x14ac:dyDescent="0.2">
      <c r="AA230" s="15" t="str">
        <f t="shared" si="48"/>
        <v>-</v>
      </c>
      <c r="AG230" s="16"/>
    </row>
  </sheetData>
  <mergeCells count="8">
    <mergeCell ref="L1:S1"/>
    <mergeCell ref="L2:O2"/>
    <mergeCell ref="P2:S2"/>
    <mergeCell ref="A1:A3"/>
    <mergeCell ref="B1:B3"/>
    <mergeCell ref="C1:C3"/>
    <mergeCell ref="D1:G2"/>
    <mergeCell ref="H1:K2"/>
  </mergeCells>
  <conditionalFormatting sqref="T9:T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{711C2B2E-8B42-994B-ADB2-AF4E7E1E552A}</x14:id>
        </ext>
      </extLst>
    </cfRule>
  </conditionalFormatting>
  <conditionalFormatting sqref="AA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{B77CCDC1-CB90-9B43-B998-EECCED03C264}</x14:id>
        </ext>
      </extLst>
    </cfRule>
  </conditionalFormatting>
  <conditionalFormatting sqref="AA9:AA23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{3AA0A5AC-2C58-8A41-A904-1BA9DF4FCBC0}</x14:id>
        </ext>
      </extLst>
    </cfRule>
  </conditionalFormatting>
  <conditionalFormatting sqref="AH9:AH19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{BD9B063E-060B-AD44-992E-5C62EE90058D}</x14:id>
        </ext>
      </extLst>
    </cfRule>
  </conditionalFormatting>
  <conditionalFormatting sqref="AO9:AO19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{209D77D2-1F25-B646-85FF-810F40185752}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1C2B2E-8B42-994B-ADB2-AF4E7E1E55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T9:T117</xm:sqref>
        </x14:conditionalFormatting>
        <x14:conditionalFormatting xmlns:xm="http://schemas.microsoft.com/office/excel/2006/main">
          <x14:cfRule type="dataBar" id="{B77CCDC1-CB90-9B43-B998-EECCED03C2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</xm:sqref>
        </x14:conditionalFormatting>
        <x14:conditionalFormatting xmlns:xm="http://schemas.microsoft.com/office/excel/2006/main">
          <x14:cfRule type="dataBar" id="{3AA0A5AC-2C58-8A41-A904-1BA9DF4FCB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AA9:AA230</xm:sqref>
        </x14:conditionalFormatting>
        <x14:conditionalFormatting xmlns:xm="http://schemas.microsoft.com/office/excel/2006/main">
          <x14:cfRule type="dataBar" id="{BD9B063E-060B-AD44-992E-5C62EE900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AH9:AH194</xm:sqref>
        </x14:conditionalFormatting>
        <x14:conditionalFormatting xmlns:xm="http://schemas.microsoft.com/office/excel/2006/main">
          <x14:cfRule type="dataBar" id="{209D77D2-1F25-B646-85FF-810F401857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AO9:AO192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3911-1612-FC46-9B7E-EB949ABAC264}">
  <dimension ref="A1:I84"/>
  <sheetViews>
    <sheetView showGridLines="0" tabSelected="1" topLeftCell="A63" zoomScale="230" workbookViewId="0">
      <selection activeCell="G2" sqref="G2"/>
    </sheetView>
  </sheetViews>
  <sheetFormatPr baseColWidth="10" defaultRowHeight="16" x14ac:dyDescent="0.2"/>
  <cols>
    <col min="1" max="1" width="23" bestFit="1" customWidth="1"/>
    <col min="2" max="2" width="14.1640625" bestFit="1" customWidth="1"/>
  </cols>
  <sheetData>
    <row r="1" spans="1:2" x14ac:dyDescent="0.2">
      <c r="A1" s="31" t="s">
        <v>266</v>
      </c>
    </row>
    <row r="3" spans="1:2" x14ac:dyDescent="0.2">
      <c r="A3" t="s">
        <v>241</v>
      </c>
      <c r="B3" t="s">
        <v>240</v>
      </c>
    </row>
    <row r="4" spans="1:2" x14ac:dyDescent="0.2">
      <c r="A4" t="s">
        <v>229</v>
      </c>
      <c r="B4" s="30">
        <f>SUM(_I!D4:D5)</f>
        <v>46</v>
      </c>
    </row>
    <row r="5" spans="1:2" x14ac:dyDescent="0.2">
      <c r="A5" t="s">
        <v>230</v>
      </c>
      <c r="B5" s="30">
        <f>SUM(_I!D6:D7)</f>
        <v>23</v>
      </c>
    </row>
    <row r="6" spans="1:2" x14ac:dyDescent="0.2">
      <c r="A6" t="s">
        <v>231</v>
      </c>
      <c r="B6" s="30">
        <f>SUM(_I!D8:D9)</f>
        <v>12</v>
      </c>
    </row>
    <row r="7" spans="1:2" x14ac:dyDescent="0.2">
      <c r="A7" t="s">
        <v>232</v>
      </c>
      <c r="B7" s="30">
        <f>SUM(_I!D10:D11)</f>
        <v>6</v>
      </c>
    </row>
    <row r="8" spans="1:2" x14ac:dyDescent="0.2">
      <c r="A8" t="s">
        <v>233</v>
      </c>
      <c r="B8" s="30">
        <f>SUM(_I!D12:D13)</f>
        <v>4</v>
      </c>
    </row>
    <row r="9" spans="1:2" x14ac:dyDescent="0.2">
      <c r="A9" t="s">
        <v>234</v>
      </c>
      <c r="B9" s="30">
        <f>SUM(_I!D14:D15)</f>
        <v>6</v>
      </c>
    </row>
    <row r="10" spans="1:2" x14ac:dyDescent="0.2">
      <c r="A10" t="s">
        <v>235</v>
      </c>
      <c r="B10" s="30">
        <f>SUM(_I!D16:D17)</f>
        <v>6</v>
      </c>
    </row>
    <row r="11" spans="1:2" x14ac:dyDescent="0.2">
      <c r="A11" t="s">
        <v>236</v>
      </c>
      <c r="B11" s="30">
        <f>SUM(_I!D18:D19)</f>
        <v>6</v>
      </c>
    </row>
    <row r="12" spans="1:2" x14ac:dyDescent="0.2">
      <c r="A12" t="s">
        <v>237</v>
      </c>
      <c r="B12" s="30">
        <f>SUM(_I!D20:D21)</f>
        <v>7</v>
      </c>
    </row>
    <row r="13" spans="1:2" x14ac:dyDescent="0.2">
      <c r="A13" t="s">
        <v>238</v>
      </c>
      <c r="B13" s="30">
        <f>SUM(_I!D22:D23)</f>
        <v>15</v>
      </c>
    </row>
    <row r="14" spans="1:2" x14ac:dyDescent="0.2">
      <c r="A14" t="s">
        <v>239</v>
      </c>
      <c r="B14" s="30">
        <f>SUM(_I!D24:D25)</f>
        <v>3</v>
      </c>
    </row>
    <row r="15" spans="1:2" x14ac:dyDescent="0.2">
      <c r="A15" t="s">
        <v>264</v>
      </c>
      <c r="B15" s="30">
        <f>SUM(_I!D26:D27)</f>
        <v>5</v>
      </c>
    </row>
    <row r="16" spans="1:2" x14ac:dyDescent="0.2">
      <c r="A16" t="s">
        <v>265</v>
      </c>
      <c r="B16" s="30">
        <f>SUM(_I!D28:D197)</f>
        <v>0</v>
      </c>
    </row>
    <row r="19" spans="1:2" x14ac:dyDescent="0.2">
      <c r="A19" s="31" t="s">
        <v>242</v>
      </c>
    </row>
    <row r="21" spans="1:2" x14ac:dyDescent="0.2">
      <c r="A21" t="s">
        <v>241</v>
      </c>
      <c r="B21" t="s">
        <v>240</v>
      </c>
    </row>
    <row r="22" spans="1:2" x14ac:dyDescent="0.2">
      <c r="A22" t="s">
        <v>243</v>
      </c>
      <c r="B22" s="30">
        <f>SUM(_I!H4:H13)</f>
        <v>8064</v>
      </c>
    </row>
    <row r="23" spans="1:2" x14ac:dyDescent="0.2">
      <c r="A23" t="s">
        <v>244</v>
      </c>
      <c r="B23" s="30">
        <f>SUM(_I!H14:H23)</f>
        <v>3864</v>
      </c>
    </row>
    <row r="24" spans="1:2" x14ac:dyDescent="0.2">
      <c r="A24" t="s">
        <v>245</v>
      </c>
      <c r="B24" s="30">
        <f>SUM(_I!H24:H33)</f>
        <v>3096</v>
      </c>
    </row>
    <row r="25" spans="1:2" x14ac:dyDescent="0.2">
      <c r="A25" t="s">
        <v>246</v>
      </c>
      <c r="B25" s="30">
        <f>SUM(_I!H34:H43)</f>
        <v>2508</v>
      </c>
    </row>
    <row r="26" spans="1:2" x14ac:dyDescent="0.2">
      <c r="A26" t="s">
        <v>247</v>
      </c>
      <c r="B26" s="30">
        <f>SUM(_I!H44:H53)</f>
        <v>2148</v>
      </c>
    </row>
    <row r="27" spans="1:2" x14ac:dyDescent="0.2">
      <c r="A27" t="s">
        <v>248</v>
      </c>
      <c r="B27" s="30">
        <f>SUM(_I!H54:H63)</f>
        <v>2084</v>
      </c>
    </row>
    <row r="28" spans="1:2" x14ac:dyDescent="0.2">
      <c r="A28" t="s">
        <v>249</v>
      </c>
      <c r="B28" s="30">
        <f>SUM(_I!H64:H73)</f>
        <v>1787</v>
      </c>
    </row>
    <row r="29" spans="1:2" x14ac:dyDescent="0.2">
      <c r="A29" t="s">
        <v>250</v>
      </c>
      <c r="B29" s="30">
        <f>SUM(_I!H74:H83)</f>
        <v>1779</v>
      </c>
    </row>
    <row r="30" spans="1:2" x14ac:dyDescent="0.2">
      <c r="A30" t="s">
        <v>251</v>
      </c>
      <c r="B30" s="30">
        <f>SUM(_I!H84:H93)</f>
        <v>1845</v>
      </c>
    </row>
    <row r="31" spans="1:2" x14ac:dyDescent="0.2">
      <c r="A31" t="s">
        <v>252</v>
      </c>
      <c r="B31" s="30">
        <f>SUM(_I!H94:H103)</f>
        <v>2166</v>
      </c>
    </row>
    <row r="32" spans="1:2" x14ac:dyDescent="0.2">
      <c r="A32" t="s">
        <v>253</v>
      </c>
      <c r="B32" s="30">
        <f>SUM(_I!H104:H113)</f>
        <v>3461</v>
      </c>
    </row>
    <row r="33" spans="1:9" x14ac:dyDescent="0.2">
      <c r="A33" t="s">
        <v>254</v>
      </c>
      <c r="B33" s="30">
        <f>SUM(_I!H114:H123)</f>
        <v>8057</v>
      </c>
    </row>
    <row r="34" spans="1:9" x14ac:dyDescent="0.2">
      <c r="A34" t="s">
        <v>255</v>
      </c>
      <c r="B34" s="30">
        <f>SUM(_I!H124:H133)</f>
        <v>177</v>
      </c>
    </row>
    <row r="35" spans="1:9" x14ac:dyDescent="0.2">
      <c r="A35" t="s">
        <v>256</v>
      </c>
      <c r="B35" s="30">
        <f>SUM(_I!H134:H143)</f>
        <v>40</v>
      </c>
    </row>
    <row r="36" spans="1:9" x14ac:dyDescent="0.2">
      <c r="A36" t="s">
        <v>257</v>
      </c>
      <c r="B36" s="30">
        <f>SUM(_I!H144:H153)</f>
        <v>11</v>
      </c>
    </row>
    <row r="37" spans="1:9" x14ac:dyDescent="0.2">
      <c r="A37" t="s">
        <v>263</v>
      </c>
      <c r="B37" s="30">
        <f>SUM(_I!H154:H197)</f>
        <v>14</v>
      </c>
    </row>
    <row r="40" spans="1:9" x14ac:dyDescent="0.2">
      <c r="A40" s="31" t="s">
        <v>259</v>
      </c>
    </row>
    <row r="42" spans="1:9" x14ac:dyDescent="0.2">
      <c r="A42" t="s">
        <v>241</v>
      </c>
      <c r="B42" t="s">
        <v>240</v>
      </c>
    </row>
    <row r="43" spans="1:9" x14ac:dyDescent="0.2">
      <c r="A43" t="s">
        <v>243</v>
      </c>
      <c r="B43" s="30">
        <f>SUM(_I!L4:L13)</f>
        <v>18</v>
      </c>
      <c r="C43" s="30"/>
      <c r="D43" s="30"/>
      <c r="E43" s="30"/>
      <c r="G43" s="30"/>
      <c r="H43" s="30"/>
      <c r="I43" s="30"/>
    </row>
    <row r="44" spans="1:9" x14ac:dyDescent="0.2">
      <c r="A44" t="s">
        <v>244</v>
      </c>
      <c r="B44" s="30">
        <f>SUM(_I!L14:L23)</f>
        <v>1</v>
      </c>
      <c r="C44" s="30"/>
      <c r="D44" s="30"/>
      <c r="E44" s="30"/>
      <c r="G44" s="30"/>
      <c r="H44" s="30"/>
      <c r="I44" s="30"/>
    </row>
    <row r="45" spans="1:9" x14ac:dyDescent="0.2">
      <c r="A45" t="s">
        <v>245</v>
      </c>
      <c r="B45" s="30">
        <f>SUM(_I!L24:L33)</f>
        <v>3</v>
      </c>
      <c r="C45" s="30"/>
      <c r="D45" s="30"/>
      <c r="E45" s="30"/>
      <c r="G45" s="30"/>
      <c r="H45" s="30"/>
      <c r="I45" s="30"/>
    </row>
    <row r="46" spans="1:9" x14ac:dyDescent="0.2">
      <c r="A46" t="s">
        <v>246</v>
      </c>
      <c r="B46" s="30">
        <f>SUM(_I!L34:L43)</f>
        <v>2</v>
      </c>
      <c r="C46" s="30"/>
      <c r="D46" s="30"/>
      <c r="E46" s="30"/>
      <c r="G46" s="30"/>
      <c r="H46" s="30"/>
      <c r="I46" s="30"/>
    </row>
    <row r="47" spans="1:9" x14ac:dyDescent="0.2">
      <c r="A47" t="s">
        <v>247</v>
      </c>
      <c r="B47" s="30">
        <f>SUM(_I!L44:L53)</f>
        <v>4</v>
      </c>
      <c r="C47" s="30"/>
      <c r="D47" s="30"/>
      <c r="E47" s="30"/>
      <c r="G47" s="30"/>
      <c r="H47" s="30"/>
      <c r="I47" s="30"/>
    </row>
    <row r="48" spans="1:9" x14ac:dyDescent="0.2">
      <c r="A48" t="s">
        <v>248</v>
      </c>
      <c r="B48" s="30">
        <f>SUM(_I!L54:L63)</f>
        <v>1</v>
      </c>
      <c r="C48" s="30"/>
      <c r="D48" s="30"/>
      <c r="E48" s="30"/>
      <c r="G48" s="30"/>
      <c r="H48" s="30"/>
      <c r="I48" s="30"/>
    </row>
    <row r="49" spans="1:9" x14ac:dyDescent="0.2">
      <c r="A49" t="s">
        <v>249</v>
      </c>
      <c r="B49" s="30">
        <f>SUM(_I!L64:L73)</f>
        <v>1</v>
      </c>
      <c r="C49" s="30"/>
      <c r="D49" s="30"/>
      <c r="E49" s="30"/>
      <c r="G49" s="30"/>
      <c r="H49" s="30"/>
      <c r="I49" s="30"/>
    </row>
    <row r="50" spans="1:9" x14ac:dyDescent="0.2">
      <c r="A50" t="s">
        <v>250</v>
      </c>
      <c r="B50" s="30">
        <f>SUM(_I!L74:L83)</f>
        <v>1</v>
      </c>
      <c r="C50" s="30"/>
      <c r="D50" s="30"/>
      <c r="E50" s="30"/>
      <c r="G50" s="30"/>
      <c r="H50" s="30"/>
      <c r="I50" s="30"/>
    </row>
    <row r="51" spans="1:9" x14ac:dyDescent="0.2">
      <c r="A51" t="s">
        <v>251</v>
      </c>
      <c r="B51" s="30">
        <f>SUM(_I!L84:L93)</f>
        <v>1</v>
      </c>
      <c r="C51" s="30"/>
      <c r="D51" s="30"/>
      <c r="E51" s="30"/>
      <c r="G51" s="30"/>
      <c r="H51" s="30"/>
      <c r="I51" s="30"/>
    </row>
    <row r="52" spans="1:9" x14ac:dyDescent="0.2">
      <c r="A52" t="s">
        <v>252</v>
      </c>
      <c r="B52" s="30">
        <f>SUM(_I!L94:L103)</f>
        <v>1</v>
      </c>
      <c r="C52" s="30"/>
      <c r="D52" s="30"/>
      <c r="E52" s="30"/>
      <c r="G52" s="30"/>
      <c r="H52" s="30"/>
      <c r="I52" s="30"/>
    </row>
    <row r="53" spans="1:9" x14ac:dyDescent="0.2">
      <c r="A53" t="s">
        <v>253</v>
      </c>
      <c r="B53" s="30">
        <f>SUM(_I!L104:L113)</f>
        <v>1</v>
      </c>
      <c r="C53" s="30"/>
      <c r="D53" s="30"/>
      <c r="E53" s="30"/>
      <c r="G53" s="30"/>
      <c r="H53" s="30"/>
      <c r="I53" s="30"/>
    </row>
    <row r="54" spans="1:9" x14ac:dyDescent="0.2">
      <c r="A54" t="s">
        <v>254</v>
      </c>
      <c r="B54" s="30">
        <f>SUM(_I!L114:L123)</f>
        <v>2</v>
      </c>
      <c r="C54" s="30"/>
      <c r="D54" s="30"/>
      <c r="E54" s="30"/>
      <c r="G54" s="30"/>
      <c r="H54" s="30"/>
      <c r="I54" s="30"/>
    </row>
    <row r="55" spans="1:9" x14ac:dyDescent="0.2">
      <c r="A55" t="s">
        <v>255</v>
      </c>
      <c r="B55" s="30">
        <f>SUM(_I!L124:L133)</f>
        <v>0</v>
      </c>
      <c r="C55" s="30"/>
      <c r="D55" s="30"/>
      <c r="E55" s="30"/>
      <c r="G55" s="30"/>
      <c r="H55" s="30"/>
      <c r="I55" s="30"/>
    </row>
    <row r="56" spans="1:9" x14ac:dyDescent="0.2">
      <c r="A56" t="s">
        <v>256</v>
      </c>
      <c r="B56" s="30">
        <f>SUM(_I!L134:L143)</f>
        <v>0</v>
      </c>
      <c r="C56" s="30"/>
      <c r="D56" s="30"/>
      <c r="E56" s="30"/>
      <c r="G56" s="30"/>
      <c r="H56" s="30"/>
      <c r="I56" s="30"/>
    </row>
    <row r="57" spans="1:9" x14ac:dyDescent="0.2">
      <c r="A57" t="s">
        <v>257</v>
      </c>
      <c r="B57" s="30">
        <f>SUM(_I!L144:L153)</f>
        <v>0</v>
      </c>
      <c r="C57" s="30"/>
      <c r="D57" s="30"/>
      <c r="E57" s="30"/>
      <c r="G57" s="30"/>
      <c r="H57" s="30"/>
      <c r="I57" s="30"/>
    </row>
    <row r="58" spans="1:9" x14ac:dyDescent="0.2">
      <c r="A58" t="s">
        <v>258</v>
      </c>
      <c r="B58" s="30">
        <f>SUM(_I!L154:L163)</f>
        <v>0</v>
      </c>
      <c r="C58" s="30"/>
      <c r="D58" s="30"/>
      <c r="E58" s="30"/>
      <c r="G58" s="30"/>
      <c r="H58" s="30"/>
      <c r="I58" s="30"/>
    </row>
    <row r="59" spans="1:9" x14ac:dyDescent="0.2">
      <c r="A59" t="s">
        <v>261</v>
      </c>
      <c r="B59" s="30">
        <f>SUM(_I!L164:L173)</f>
        <v>1</v>
      </c>
      <c r="C59" s="30"/>
      <c r="D59" s="30"/>
      <c r="E59" s="30"/>
      <c r="G59" s="30"/>
      <c r="H59" s="30"/>
      <c r="I59" s="30"/>
    </row>
    <row r="60" spans="1:9" x14ac:dyDescent="0.2">
      <c r="A60" t="s">
        <v>262</v>
      </c>
      <c r="B60" s="30">
        <f>SUM(_I!L174:L197)</f>
        <v>0</v>
      </c>
    </row>
    <row r="62" spans="1:9" x14ac:dyDescent="0.2">
      <c r="B62" s="30"/>
    </row>
    <row r="64" spans="1:9" x14ac:dyDescent="0.2">
      <c r="A64" s="31" t="s">
        <v>260</v>
      </c>
    </row>
    <row r="66" spans="1:6" x14ac:dyDescent="0.2">
      <c r="A66" t="s">
        <v>241</v>
      </c>
      <c r="B66" t="s">
        <v>240</v>
      </c>
    </row>
    <row r="67" spans="1:6" x14ac:dyDescent="0.2">
      <c r="A67" t="s">
        <v>243</v>
      </c>
      <c r="B67" s="30">
        <f>SUM(_I!P4:P13)</f>
        <v>4625</v>
      </c>
      <c r="F67" s="32"/>
    </row>
    <row r="68" spans="1:6" x14ac:dyDescent="0.2">
      <c r="A68" t="s">
        <v>244</v>
      </c>
      <c r="B68" s="30">
        <f>SUM(_I!P14:P23)</f>
        <v>849</v>
      </c>
    </row>
    <row r="69" spans="1:6" x14ac:dyDescent="0.2">
      <c r="A69" t="s">
        <v>245</v>
      </c>
      <c r="B69" s="30">
        <f>SUM(_I!P24:P33)</f>
        <v>539</v>
      </c>
    </row>
    <row r="70" spans="1:6" x14ac:dyDescent="0.2">
      <c r="A70" t="s">
        <v>246</v>
      </c>
      <c r="B70" s="30">
        <f>SUM(_I!P34:P43)</f>
        <v>320</v>
      </c>
    </row>
    <row r="71" spans="1:6" x14ac:dyDescent="0.2">
      <c r="A71" t="s">
        <v>247</v>
      </c>
      <c r="B71" s="30">
        <f>SUM(_I!P44:P53)</f>
        <v>270</v>
      </c>
    </row>
    <row r="72" spans="1:6" x14ac:dyDescent="0.2">
      <c r="A72" t="s">
        <v>248</v>
      </c>
      <c r="B72" s="30">
        <f>SUM(_I!P54:P63)</f>
        <v>238</v>
      </c>
    </row>
    <row r="73" spans="1:6" x14ac:dyDescent="0.2">
      <c r="A73" t="s">
        <v>249</v>
      </c>
      <c r="B73" s="30">
        <f>SUM(_I!P64:P73)</f>
        <v>208</v>
      </c>
    </row>
    <row r="74" spans="1:6" x14ac:dyDescent="0.2">
      <c r="A74" t="s">
        <v>250</v>
      </c>
      <c r="B74" s="30">
        <f>SUM(_I!P74:P83)</f>
        <v>166</v>
      </c>
    </row>
    <row r="75" spans="1:6" x14ac:dyDescent="0.2">
      <c r="A75" t="s">
        <v>251</v>
      </c>
      <c r="B75" s="30">
        <f>SUM(_I!P84:P93)</f>
        <v>147</v>
      </c>
    </row>
    <row r="76" spans="1:6" x14ac:dyDescent="0.2">
      <c r="A76" t="s">
        <v>252</v>
      </c>
      <c r="B76" s="30">
        <f>SUM(_I!P94:P103)</f>
        <v>152</v>
      </c>
    </row>
    <row r="77" spans="1:6" x14ac:dyDescent="0.2">
      <c r="A77" t="s">
        <v>253</v>
      </c>
      <c r="B77" s="30">
        <f>SUM(_I!P104:P113)</f>
        <v>244</v>
      </c>
    </row>
    <row r="78" spans="1:6" x14ac:dyDescent="0.2">
      <c r="A78" t="s">
        <v>254</v>
      </c>
      <c r="B78" s="30">
        <f>SUM(_I!P114:P123)</f>
        <v>487</v>
      </c>
    </row>
    <row r="79" spans="1:6" x14ac:dyDescent="0.2">
      <c r="A79" t="s">
        <v>255</v>
      </c>
      <c r="B79" s="30">
        <f>SUM(_I!P124:P133)</f>
        <v>195</v>
      </c>
    </row>
    <row r="80" spans="1:6" x14ac:dyDescent="0.2">
      <c r="A80" t="s">
        <v>256</v>
      </c>
      <c r="B80" s="30">
        <f>SUM(_I!P134:P143)</f>
        <v>156</v>
      </c>
    </row>
    <row r="81" spans="1:2" x14ac:dyDescent="0.2">
      <c r="A81" t="s">
        <v>257</v>
      </c>
      <c r="B81" s="30">
        <f>SUM(_I!P144:P153)</f>
        <v>179</v>
      </c>
    </row>
    <row r="82" spans="1:2" x14ac:dyDescent="0.2">
      <c r="A82" t="s">
        <v>258</v>
      </c>
      <c r="B82" s="30">
        <f>SUM(_I!P154:P163)</f>
        <v>343</v>
      </c>
    </row>
    <row r="83" spans="1:2" x14ac:dyDescent="0.2">
      <c r="A83" t="s">
        <v>261</v>
      </c>
      <c r="B83" s="30">
        <f>SUM(_I!P164:P173)</f>
        <v>547</v>
      </c>
    </row>
    <row r="84" spans="1:2" x14ac:dyDescent="0.2">
      <c r="A84" t="s">
        <v>262</v>
      </c>
      <c r="B84" s="30">
        <f>SUM(_I!P174:P197)</f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Yashchuk, Denys</dc:creator>
  <cp:lastModifiedBy>Bohdan Slutskyi</cp:lastModifiedBy>
  <dcterms:created xsi:type="dcterms:W3CDTF">2025-12-31T10:32:00Z</dcterms:created>
  <dcterms:modified xsi:type="dcterms:W3CDTF">2025-12-31T13:23:39Z</dcterms:modified>
</cp:coreProperties>
</file>